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IME SCHEDULE" sheetId="1" state="visible" r:id="rId1"/>
    <sheet name="CHART_DATA" sheetId="2" state="hidden" r:id="rId2"/>
  </sheets>
  <definedNames/>
  <calcPr calcId="171027" fullCalcOnLoad="1"/>
</workbook>
</file>

<file path=xl/styles.xml><?xml version="1.0" encoding="utf-8"?>
<styleSheet xmlns="http://schemas.openxmlformats.org/spreadsheetml/2006/main">
  <numFmts count="3">
    <numFmt numFmtId="164" formatCode="_-* #,##0.000_-;-* #,##0.000_-;_-* &quot;-&quot;??_-;_-@_-"/>
    <numFmt numFmtId="165" formatCode="&quot;Rp&quot; * #,##0.00"/>
    <numFmt numFmtId="166" formatCode="0.000"/>
  </numFmts>
  <fonts count="3">
    <font>
      <name val="Calibri"/>
      <family val="2"/>
      <color theme="1"/>
      <sz val="11"/>
      <scheme val="minor"/>
    </font>
    <font>
      <b val="1"/>
      <sz val="22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0000FF00"/>
      </patternFill>
    </fill>
  </fills>
  <borders count="1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2" borderId="6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0" fillId="2" borderId="6" pivotButton="0" quotePrefix="0" xfId="0"/>
    <xf numFmtId="0" fontId="0" fillId="0" borderId="6" pivotButton="0" quotePrefix="0" xfId="0"/>
    <xf numFmtId="0" fontId="0" fillId="0" borderId="10" pivotButton="0" quotePrefix="0" xfId="0"/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/>
    </xf>
    <xf numFmtId="0" fontId="0" fillId="0" borderId="8" pivotButton="0" quotePrefix="0" xfId="0"/>
    <xf numFmtId="166" fontId="0" fillId="0" borderId="1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7" applyAlignment="1" pivotButton="0" quotePrefix="0" xfId="0">
      <alignment horizontal="center" vertical="center"/>
    </xf>
    <xf numFmtId="0" fontId="0" fillId="2" borderId="11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166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2"/>
  <chart>
    <plotArea>
      <lineChart>
        <grouping val="standard"/>
        <ser>
          <idx val="0"/>
          <order val="0"/>
          <spPr>
            <a:ln w="40000">
              <a:solidFill>
                <a:srgbClr val="CC0000"/>
              </a:solidFill>
              <a:prstDash val="dash"/>
            </a:ln>
          </spPr>
          <marker>
            <symbol val="circle"/>
            <size val="6"/>
            <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spPr>
          </marker>
          <dLbls>
            <numFmt formatCode="0.000"/>
            <spPr>
              <a:solidFill>
                <a:srgbClr val="D9D9D9"/>
              </a:solidFill>
              <a:ln w="20000">
                <a:solidFill>
                  <a:srgbClr val="000000"/>
                </a:solidFill>
                <a:prstDash val="solid"/>
              </a:ln>
            </spPr>
            <txPr>
              <a:bodyPr/>
              <a:p>
                <a:r>
                  <a:t/>
                </a:r>
              </a:p>
            </txPr>
            <showLegendKey val="0"/>
            <showVal val="1"/>
            <showCatName val="0"/>
            <showSerName val="0"/>
          </dLbls>
          <cat>
            <numRef>
              <f>'CHART_DATA'!$A$2:$A$10</f>
            </numRef>
          </cat>
          <val>
            <numRef>
              <f>'CHART_DATA'!$B$2:$B$10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spPr>
          <a:noFill/>
          <a:ln>
            <a:prstDash val="solid"/>
          </a:ln>
        </spPr>
        <crossAx val="100"/>
        <lblOffset val="100"/>
      </catAx>
      <valAx>
        <axId val="100"/>
        <scaling>
          <orientation val="minMax"/>
          <max val="100"/>
          <min val="0"/>
        </scaling>
        <delete val="1"/>
        <axPos val="l"/>
        <majorTickMark val="none"/>
        <minorTickMark val="none"/>
        <spPr>
          <a:noFill/>
          <a:ln>
            <a:prstDash val="solid"/>
          </a:ln>
        </spPr>
        <crossAx val="10"/>
      </valAx>
      <spPr>
        <a:noFill/>
        <a:ln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25</row>
      <rowOff>0</rowOff>
    </from>
    <ext cx="11016000" cy="2116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123"/>
  <sheetViews>
    <sheetView workbookViewId="0">
      <selection activeCell="A1" sqref="A1"/>
    </sheetView>
  </sheetViews>
  <sheetFormatPr baseColWidth="8" defaultRowHeight="22" customHeight="1" outlineLevelRow="0"/>
  <cols>
    <col width="1" customWidth="1" min="1" max="1"/>
    <col width="5" customWidth="1" min="2" max="2"/>
    <col width="3" customWidth="1" min="3" max="3"/>
    <col width="15" customWidth="1" min="4" max="4"/>
    <col width="3" customWidth="1" min="5" max="5"/>
    <col width="55" customWidth="1" min="6" max="6"/>
    <col width="10" customWidth="1" min="7" max="7"/>
    <col width="12" customWidth="1" min="8" max="8"/>
    <col width="20" customWidth="1" min="9" max="9"/>
    <col width="25" customWidth="1" min="10" max="10"/>
    <col width="8" customWidth="1" min="11" max="11"/>
    <col width="6" customWidth="1" min="12" max="12"/>
    <col width="15" customWidth="1" min="13" max="21"/>
    <col width="6" customWidth="1" min="22" max="22"/>
    <col width="15" customWidth="1" min="23" max="23"/>
  </cols>
  <sheetData>
    <row r="2" ht="32" customHeight="1">
      <c r="B2" s="1" t="inlineStr">
        <is>
          <t>JADWAL PELAKSANAAN KONSTRUKSI (TIME SCHEDULE)</t>
        </is>
      </c>
    </row>
    <row r="4">
      <c r="B4" s="2" t="inlineStr">
        <is>
          <t>KEGIATAN</t>
        </is>
      </c>
      <c r="E4" t="inlineStr">
        <is>
          <t>:</t>
        </is>
      </c>
      <c r="F4" s="3" t="inlineStr">
        <is>
          <t>PENGELOLAAN PENDIDIKAN SEKOLAH MENENGAH PERTAMA</t>
        </is>
      </c>
    </row>
    <row r="5">
      <c r="B5" s="2" t="inlineStr">
        <is>
          <t>SUB KEGIATAN</t>
        </is>
      </c>
      <c r="E5" t="inlineStr">
        <is>
          <t>:</t>
        </is>
      </c>
      <c r="F5" s="3" t="inlineStr">
        <is>
          <t>PEMELIHARAAN RUTIN SARANA, PRASARANA DAN UTILITAS SEKOLAH</t>
        </is>
      </c>
    </row>
    <row r="6">
      <c r="B6" s="2" t="inlineStr">
        <is>
          <t>PEKERJAAN</t>
        </is>
      </c>
      <c r="E6" t="inlineStr">
        <is>
          <t>:</t>
        </is>
      </c>
      <c r="F6" s="4" t="inlineStr">
        <is>
          <t>BELANJA MODAL BANGUNAN GEDUNG TEMPAT PENDIDIKAN PEMELIHARAAN BANGUNAN GEDUNG DAN</t>
        </is>
      </c>
    </row>
    <row r="7">
      <c r="F7" s="4" t="inlineStr">
        <is>
          <t>RUANGAN TEMPAT PENDIDIKAN DI SMP NEGERI 1 KUTA</t>
        </is>
      </c>
    </row>
    <row r="8">
      <c r="B8" s="2" t="inlineStr">
        <is>
          <t>NO KONTRAK</t>
        </is>
      </c>
      <c r="E8" t="inlineStr">
        <is>
          <t>:</t>
        </is>
      </c>
      <c r="F8" s="3" t="inlineStr">
        <is>
          <t>400.3.13/III/1241/BID.SMP/DISDIKPORA/2026</t>
        </is>
      </c>
    </row>
    <row r="9">
      <c r="B9" s="2" t="inlineStr">
        <is>
          <t>TANGGAL KONTRAK</t>
        </is>
      </c>
      <c r="E9" t="inlineStr">
        <is>
          <t>:</t>
        </is>
      </c>
      <c r="F9" s="3" t="inlineStr">
        <is>
          <t>3 MARET 2026</t>
        </is>
      </c>
    </row>
    <row r="10">
      <c r="B10" s="2" t="inlineStr">
        <is>
          <t>NO SPMK</t>
        </is>
      </c>
      <c r="E10" t="inlineStr">
        <is>
          <t>:</t>
        </is>
      </c>
      <c r="F10" s="3" t="inlineStr">
        <is>
          <t>400.3.13/III/1272/BID.SMP/DISDIKPORA/2026</t>
        </is>
      </c>
    </row>
    <row r="11">
      <c r="B11" s="2" t="inlineStr">
        <is>
          <t>TANGGAL SPMK</t>
        </is>
      </c>
      <c r="E11" t="inlineStr">
        <is>
          <t>:</t>
        </is>
      </c>
      <c r="F11" s="3" t="inlineStr">
        <is>
          <t>3 MARET 2026</t>
        </is>
      </c>
    </row>
    <row r="12">
      <c r="B12" s="2" t="inlineStr">
        <is>
          <t>KONTRAKTOR</t>
        </is>
      </c>
      <c r="E12" t="inlineStr">
        <is>
          <t>:</t>
        </is>
      </c>
      <c r="F12" s="3" t="inlineStr">
        <is>
          <t>CV. BATU KARANG</t>
        </is>
      </c>
    </row>
    <row r="13">
      <c r="B13" s="2" t="inlineStr">
        <is>
          <t>KONSULTAN</t>
        </is>
      </c>
      <c r="E13" t="inlineStr">
        <is>
          <t>:</t>
        </is>
      </c>
      <c r="F13" s="3" t="inlineStr">
        <is>
          <t>CV. GANESHA TEKNIKA</t>
        </is>
      </c>
    </row>
    <row r="14">
      <c r="B14" s="2" t="inlineStr">
        <is>
          <t>WAKTU</t>
        </is>
      </c>
      <c r="E14" t="inlineStr">
        <is>
          <t>:</t>
        </is>
      </c>
      <c r="F14" s="3" t="inlineStr">
        <is>
          <t>60 HARI</t>
        </is>
      </c>
    </row>
    <row r="15">
      <c r="B15" s="2" t="inlineStr">
        <is>
          <t>NILAI</t>
        </is>
      </c>
      <c r="E15" t="inlineStr">
        <is>
          <t>:</t>
        </is>
      </c>
      <c r="F15" s="3" t="inlineStr">
        <is>
          <t>RP 397.997</t>
        </is>
      </c>
    </row>
    <row r="16">
      <c r="B16" s="2" t="inlineStr">
        <is>
          <t>LOKASI</t>
        </is>
      </c>
      <c r="E16" t="inlineStr">
        <is>
          <t>:</t>
        </is>
      </c>
      <c r="F16" s="3" t="inlineStr">
        <is>
          <t>SMP NEGERI 1 KUTA, KEC. KUTA, KAB. BADUNG</t>
        </is>
      </c>
    </row>
    <row r="17">
      <c r="B17" s="2" t="inlineStr">
        <is>
          <t>TAHUN</t>
        </is>
      </c>
      <c r="E17" t="inlineStr">
        <is>
          <t>:</t>
        </is>
      </c>
      <c r="F17" s="3" t="inlineStr">
        <is>
          <t>2026</t>
        </is>
      </c>
    </row>
    <row r="19">
      <c r="B19" s="5" t="inlineStr">
        <is>
          <t>NO.</t>
        </is>
      </c>
      <c r="C19" s="5" t="inlineStr">
        <is>
          <t>URAIAN</t>
        </is>
      </c>
      <c r="D19" s="47" t="n"/>
      <c r="E19" s="47" t="n"/>
      <c r="F19" s="48" t="n"/>
      <c r="G19" s="5" t="inlineStr">
        <is>
          <t>SATUAN</t>
        </is>
      </c>
      <c r="H19" s="5" t="inlineStr">
        <is>
          <t>VOLUME</t>
        </is>
      </c>
      <c r="I19" s="5" t="inlineStr">
        <is>
          <t>HARGA SATUAN</t>
        </is>
      </c>
      <c r="J19" s="5" t="inlineStr">
        <is>
          <t>JUMLAH HARGA</t>
        </is>
      </c>
      <c r="K19" s="5" t="inlineStr">
        <is>
          <t>BOBOT</t>
        </is>
      </c>
      <c r="L19" s="6" t="n"/>
      <c r="M19" s="5" t="inlineStr">
        <is>
          <t>WAKTU PELAKSANAAN 60 HARI KALENDER</t>
        </is>
      </c>
      <c r="N19" s="33" t="n"/>
      <c r="O19" s="33" t="n"/>
      <c r="P19" s="33" t="n"/>
      <c r="Q19" s="33" t="n"/>
      <c r="R19" s="33" t="n"/>
      <c r="S19" s="33" t="n"/>
      <c r="T19" s="33" t="n"/>
      <c r="U19" s="49" t="n"/>
      <c r="V19" s="6" t="n"/>
      <c r="W19" s="5" t="inlineStr">
        <is>
          <t>KET.</t>
        </is>
      </c>
    </row>
    <row r="20">
      <c r="B20" s="29" t="n"/>
      <c r="C20" s="39" t="n"/>
      <c r="F20" s="40" t="n"/>
      <c r="G20" s="29" t="n"/>
      <c r="H20" s="29" t="n"/>
      <c r="I20" s="29" t="n"/>
      <c r="J20" s="29" t="n"/>
      <c r="K20" s="29" t="n"/>
      <c r="L20" s="29" t="n"/>
      <c r="M20" s="5" t="inlineStr">
        <is>
          <t>BULAN 1</t>
        </is>
      </c>
      <c r="N20" s="33" t="n"/>
      <c r="O20" s="33" t="n"/>
      <c r="P20" s="49" t="n"/>
      <c r="Q20" s="5" t="inlineStr">
        <is>
          <t>BULAN 2</t>
        </is>
      </c>
      <c r="R20" s="33" t="n"/>
      <c r="S20" s="33" t="n"/>
      <c r="T20" s="49" t="n"/>
      <c r="U20" s="5" t="inlineStr">
        <is>
          <t>BULAN 3</t>
        </is>
      </c>
      <c r="V20" s="29" t="n"/>
      <c r="W20" s="29" t="n"/>
    </row>
    <row r="21">
      <c r="B21" s="29" t="n"/>
      <c r="C21" s="39" t="n"/>
      <c r="F21" s="40" t="n"/>
      <c r="G21" s="29" t="n"/>
      <c r="H21" s="29" t="n"/>
      <c r="I21" s="29" t="n"/>
      <c r="J21" s="29" t="n"/>
      <c r="K21" s="29" t="n"/>
      <c r="L21" s="29" t="n"/>
      <c r="M21" s="5" t="inlineStr">
        <is>
          <t>3 Mar</t>
        </is>
      </c>
      <c r="N21" s="5" t="inlineStr">
        <is>
          <t>10 Mar</t>
        </is>
      </c>
      <c r="O21" s="5" t="inlineStr">
        <is>
          <t>17 Mar</t>
        </is>
      </c>
      <c r="P21" s="5" t="inlineStr">
        <is>
          <t>24 Mar</t>
        </is>
      </c>
      <c r="Q21" s="5" t="inlineStr">
        <is>
          <t>31 Mar</t>
        </is>
      </c>
      <c r="R21" s="5" t="inlineStr">
        <is>
          <t>7 Apr</t>
        </is>
      </c>
      <c r="S21" s="5" t="inlineStr">
        <is>
          <t>14 Apr</t>
        </is>
      </c>
      <c r="T21" s="5" t="inlineStr">
        <is>
          <t>21 Apr</t>
        </is>
      </c>
      <c r="U21" s="5" t="inlineStr">
        <is>
          <t>28 Apr</t>
        </is>
      </c>
      <c r="V21" s="29" t="n"/>
      <c r="W21" s="29" t="n"/>
    </row>
    <row r="22">
      <c r="B22" s="29" t="n"/>
      <c r="C22" s="39" t="n"/>
      <c r="F22" s="40" t="n"/>
      <c r="G22" s="29" t="n"/>
      <c r="H22" s="29" t="n"/>
      <c r="I22" s="29" t="n"/>
      <c r="J22" s="29" t="n"/>
      <c r="K22" s="29" t="n"/>
      <c r="L22" s="29" t="n"/>
      <c r="M22" s="5" t="inlineStr">
        <is>
          <t>s/d</t>
        </is>
      </c>
      <c r="N22" s="5" t="inlineStr">
        <is>
          <t>s/d</t>
        </is>
      </c>
      <c r="O22" s="5" t="inlineStr">
        <is>
          <t>s/d</t>
        </is>
      </c>
      <c r="P22" s="5" t="inlineStr">
        <is>
          <t>s/d</t>
        </is>
      </c>
      <c r="Q22" s="5" t="inlineStr">
        <is>
          <t>s/d</t>
        </is>
      </c>
      <c r="R22" s="5" t="inlineStr">
        <is>
          <t>s/d</t>
        </is>
      </c>
      <c r="S22" s="5" t="inlineStr">
        <is>
          <t>s/d</t>
        </is>
      </c>
      <c r="T22" s="5" t="inlineStr">
        <is>
          <t>s/d</t>
        </is>
      </c>
      <c r="U22" s="5" t="inlineStr">
        <is>
          <t>s/d</t>
        </is>
      </c>
      <c r="V22" s="29" t="n"/>
      <c r="W22" s="29" t="n"/>
    </row>
    <row r="23">
      <c r="B23" s="29" t="n"/>
      <c r="C23" s="44" t="n"/>
      <c r="D23" s="30" t="n"/>
      <c r="E23" s="30" t="n"/>
      <c r="F23" s="45" t="n"/>
      <c r="G23" s="38" t="n"/>
      <c r="H23" s="38" t="n"/>
      <c r="I23" s="38" t="n"/>
      <c r="J23" s="38" t="n"/>
      <c r="K23" s="38" t="n"/>
      <c r="L23" s="29" t="n"/>
      <c r="M23" s="5" t="inlineStr">
        <is>
          <t>9 Mar</t>
        </is>
      </c>
      <c r="N23" s="5" t="inlineStr">
        <is>
          <t>16 Mar</t>
        </is>
      </c>
      <c r="O23" s="5" t="inlineStr">
        <is>
          <t>23 Mar</t>
        </is>
      </c>
      <c r="P23" s="5" t="inlineStr">
        <is>
          <t>30 Mar</t>
        </is>
      </c>
      <c r="Q23" s="5" t="inlineStr">
        <is>
          <t>6 Apr</t>
        </is>
      </c>
      <c r="R23" s="5" t="inlineStr">
        <is>
          <t>13 Apr</t>
        </is>
      </c>
      <c r="S23" s="5" t="inlineStr">
        <is>
          <t>20 Apr</t>
        </is>
      </c>
      <c r="T23" s="5" t="inlineStr">
        <is>
          <t>27 Apr</t>
        </is>
      </c>
      <c r="U23" s="5" t="inlineStr">
        <is>
          <t>1 Mei</t>
        </is>
      </c>
      <c r="V23" s="29" t="n"/>
      <c r="W23" s="29" t="n"/>
    </row>
    <row r="24">
      <c r="B24" s="38" t="n"/>
      <c r="C24" s="5" t="n">
        <v>1</v>
      </c>
      <c r="D24" s="33" t="n"/>
      <c r="E24" s="33" t="n"/>
      <c r="F24" s="49" t="n"/>
      <c r="G24" s="5" t="n">
        <v>2</v>
      </c>
      <c r="H24" s="5" t="n">
        <v>3</v>
      </c>
      <c r="I24" s="5" t="n">
        <v>4</v>
      </c>
      <c r="J24" s="5" t="n">
        <v>5</v>
      </c>
      <c r="K24" s="5" t="n">
        <v>6</v>
      </c>
      <c r="L24" s="29" t="n"/>
      <c r="M24" s="5" t="n">
        <v>1</v>
      </c>
      <c r="N24" s="5" t="n">
        <v>2</v>
      </c>
      <c r="O24" s="5" t="n">
        <v>3</v>
      </c>
      <c r="P24" s="5" t="n">
        <v>4</v>
      </c>
      <c r="Q24" s="5" t="n">
        <v>5</v>
      </c>
      <c r="R24" s="5" t="n">
        <v>6</v>
      </c>
      <c r="S24" s="5" t="n">
        <v>7</v>
      </c>
      <c r="T24" s="5" t="n">
        <v>8</v>
      </c>
      <c r="U24" s="5" t="n">
        <v>9</v>
      </c>
      <c r="V24" s="29" t="n"/>
      <c r="W24" s="38" t="n"/>
    </row>
    <row r="25">
      <c r="B25" s="7" t="n"/>
      <c r="C25" s="8" t="n"/>
      <c r="D25" s="9" t="n"/>
      <c r="E25" s="9" t="n"/>
      <c r="F25" s="10" t="n"/>
      <c r="G25" s="7" t="n"/>
      <c r="H25" s="7" t="n"/>
      <c r="I25" s="7" t="n"/>
      <c r="J25" s="7" t="n"/>
      <c r="K25" s="7" t="n"/>
      <c r="L25" s="11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11" t="n"/>
      <c r="W25" s="7" t="n"/>
    </row>
    <row r="26" customFormat="1" s="12">
      <c r="B26" s="13" t="inlineStr">
        <is>
          <t>A</t>
        </is>
      </c>
      <c r="C26" s="14" t="inlineStr">
        <is>
          <t>PEKERJAAN SMKK</t>
        </is>
      </c>
      <c r="D26" s="47" t="n"/>
      <c r="E26" s="47" t="n"/>
      <c r="F26" s="48" t="n"/>
      <c r="G26" s="13" t="n"/>
      <c r="H26" s="13" t="n"/>
      <c r="I26" s="13" t="n"/>
      <c r="J26" s="13" t="n"/>
      <c r="K26" s="13" t="n"/>
      <c r="L26" s="15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5" t="n"/>
      <c r="W26" s="16" t="n"/>
    </row>
    <row r="27">
      <c r="B27" s="7" t="n">
        <v>1</v>
      </c>
      <c r="C27" s="10" t="inlineStr">
        <is>
          <t>Penyelenggaraan Keamanan dan Kesehatan Kerja serta Keselamatan Konstruksi</t>
        </is>
      </c>
      <c r="D27" s="47" t="n"/>
      <c r="E27" s="47" t="n"/>
      <c r="F27" s="48" t="n"/>
      <c r="G27" s="7" t="inlineStr"/>
      <c r="H27" s="17" t="n">
        <v>0</v>
      </c>
      <c r="I27" s="18" t="n">
        <v>0</v>
      </c>
      <c r="J27" s="18" t="n">
        <v>0</v>
      </c>
      <c r="K27" s="17" t="n">
        <v>0</v>
      </c>
      <c r="L27" s="11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1" t="n"/>
      <c r="W27" s="19" t="n"/>
    </row>
    <row r="28" customFormat="1" s="12">
      <c r="B28" s="13" t="inlineStr">
        <is>
          <t>I</t>
        </is>
      </c>
      <c r="C28" s="14" t="inlineStr">
        <is>
          <t>PENYIAPAN SMKK</t>
        </is>
      </c>
      <c r="D28" s="47" t="n"/>
      <c r="E28" s="47" t="n"/>
      <c r="F28" s="48" t="n"/>
      <c r="G28" s="13" t="n"/>
      <c r="H28" s="13" t="n"/>
      <c r="I28" s="13" t="n"/>
      <c r="J28" s="13" t="n"/>
      <c r="K28" s="13" t="n"/>
      <c r="L28" s="15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5" t="n"/>
      <c r="W28" s="16" t="n"/>
    </row>
    <row r="29">
      <c r="B29" s="7" t="n">
        <v>1</v>
      </c>
      <c r="C29" s="10" t="inlineStr">
        <is>
          <t>Pembuatan Prosedur dan instruksi kerja</t>
        </is>
      </c>
      <c r="D29" s="47" t="n"/>
      <c r="E29" s="47" t="n"/>
      <c r="F29" s="48" t="n"/>
      <c r="G29" s="7" t="inlineStr">
        <is>
          <t>Set</t>
        </is>
      </c>
      <c r="H29" s="17" t="n">
        <v>1</v>
      </c>
      <c r="I29" s="18" t="n">
        <v>1999280</v>
      </c>
      <c r="J29" s="18" t="n">
        <v>1999280</v>
      </c>
      <c r="K29" s="17" t="n">
        <v>0.557592</v>
      </c>
      <c r="L29" s="11" t="n"/>
      <c r="M29" s="20" t="n">
        <v>0.06195467</v>
      </c>
      <c r="N29" s="20" t="n">
        <v>0.06195467</v>
      </c>
      <c r="O29" s="20" t="n">
        <v>0.06195467</v>
      </c>
      <c r="P29" s="20" t="n">
        <v>0.06195467</v>
      </c>
      <c r="Q29" s="20" t="n">
        <v>0.06195467</v>
      </c>
      <c r="R29" s="20" t="n">
        <v>0.06195467</v>
      </c>
      <c r="S29" s="20" t="n">
        <v>0.06195467</v>
      </c>
      <c r="T29" s="20" t="n">
        <v>0.06195467</v>
      </c>
      <c r="U29" s="20" t="n">
        <v>0.06195467</v>
      </c>
      <c r="V29" s="11" t="n"/>
      <c r="W29" s="19" t="n"/>
    </row>
    <row r="30">
      <c r="B30" s="7" t="n"/>
      <c r="C30" s="8" t="n"/>
      <c r="D30" s="9" t="n"/>
      <c r="E30" s="9" t="n"/>
      <c r="F30" s="10" t="n"/>
      <c r="G30" s="7" t="n"/>
      <c r="H30" s="7" t="n"/>
      <c r="I30" s="7" t="n"/>
      <c r="J30" s="7" t="n"/>
      <c r="K30" s="7" t="n"/>
      <c r="L30" s="11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11" t="n"/>
      <c r="W30" s="19" t="n"/>
    </row>
    <row r="31" customFormat="1" s="12">
      <c r="B31" s="13" t="inlineStr">
        <is>
          <t>II</t>
        </is>
      </c>
      <c r="C31" s="14" t="inlineStr">
        <is>
          <t>SOSIALISASI DAN PROMOSI SMKK</t>
        </is>
      </c>
      <c r="D31" s="47" t="n"/>
      <c r="E31" s="47" t="n"/>
      <c r="F31" s="48" t="n"/>
      <c r="G31" s="13" t="n"/>
      <c r="H31" s="13" t="n"/>
      <c r="I31" s="13" t="n"/>
      <c r="J31" s="13" t="n"/>
      <c r="K31" s="13" t="n"/>
      <c r="L31" s="15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5" t="n"/>
      <c r="W31" s="16" t="n"/>
    </row>
    <row r="32">
      <c r="B32" s="7" t="n">
        <v>1</v>
      </c>
      <c r="C32" s="10" t="inlineStr">
        <is>
          <t>Spanduk (banner) ; (6m2)</t>
        </is>
      </c>
      <c r="D32" s="47" t="n"/>
      <c r="E32" s="47" t="n"/>
      <c r="F32" s="48" t="n"/>
      <c r="G32" s="7" t="inlineStr">
        <is>
          <t>Unit</t>
        </is>
      </c>
      <c r="H32" s="17" t="n">
        <v>1</v>
      </c>
      <c r="I32" s="18" t="n">
        <v>300000</v>
      </c>
      <c r="J32" s="18" t="n">
        <v>300000</v>
      </c>
      <c r="K32" s="17" t="n">
        <v>0.08366899999999999</v>
      </c>
      <c r="L32" s="11" t="n"/>
      <c r="M32" s="20" t="n">
        <v>0.009296560000000001</v>
      </c>
      <c r="N32" s="20" t="n">
        <v>0.009296560000000001</v>
      </c>
      <c r="O32" s="20" t="n">
        <v>0.009296560000000001</v>
      </c>
      <c r="P32" s="20" t="n">
        <v>0.009296560000000001</v>
      </c>
      <c r="Q32" s="20" t="n">
        <v>0.009296560000000001</v>
      </c>
      <c r="R32" s="20" t="n">
        <v>0.009296560000000001</v>
      </c>
      <c r="S32" s="20" t="n">
        <v>0.009296560000000001</v>
      </c>
      <c r="T32" s="20" t="n">
        <v>0.009296560000000001</v>
      </c>
      <c r="U32" s="20" t="n">
        <v>0.009296560000000001</v>
      </c>
      <c r="V32" s="11" t="n"/>
      <c r="W32" s="19" t="n"/>
    </row>
    <row r="33">
      <c r="B33" s="7" t="n">
        <v>2</v>
      </c>
      <c r="C33" s="10" t="inlineStr">
        <is>
          <t>Poster</t>
        </is>
      </c>
      <c r="D33" s="47" t="n"/>
      <c r="E33" s="47" t="n"/>
      <c r="F33" s="48" t="n"/>
      <c r="G33" s="7" t="inlineStr">
        <is>
          <t>Bh</t>
        </is>
      </c>
      <c r="H33" s="17" t="n">
        <v>1</v>
      </c>
      <c r="I33" s="18" t="n">
        <v>150000</v>
      </c>
      <c r="J33" s="18" t="n">
        <v>150000</v>
      </c>
      <c r="K33" s="17" t="n">
        <v>0.041834</v>
      </c>
      <c r="L33" s="11" t="n"/>
      <c r="M33" s="20" t="n">
        <v>0.00464822</v>
      </c>
      <c r="N33" s="20" t="n">
        <v>0.00464822</v>
      </c>
      <c r="O33" s="20" t="n">
        <v>0.00464822</v>
      </c>
      <c r="P33" s="20" t="n">
        <v>0.00464822</v>
      </c>
      <c r="Q33" s="20" t="n">
        <v>0.00464822</v>
      </c>
      <c r="R33" s="20" t="n">
        <v>0.00464822</v>
      </c>
      <c r="S33" s="20" t="n">
        <v>0.00464822</v>
      </c>
      <c r="T33" s="20" t="n">
        <v>0.00464822</v>
      </c>
      <c r="U33" s="20" t="n">
        <v>0.00464822</v>
      </c>
      <c r="V33" s="11" t="n"/>
      <c r="W33" s="19" t="n"/>
    </row>
    <row r="34">
      <c r="B34" s="7" t="n"/>
      <c r="C34" s="8" t="n"/>
      <c r="D34" s="9" t="n"/>
      <c r="E34" s="9" t="n"/>
      <c r="F34" s="10" t="n"/>
      <c r="G34" s="7" t="n"/>
      <c r="H34" s="7" t="n"/>
      <c r="I34" s="7" t="n"/>
      <c r="J34" s="7" t="n"/>
      <c r="K34" s="7" t="n"/>
      <c r="L34" s="11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11" t="n"/>
      <c r="W34" s="19" t="n"/>
    </row>
    <row r="35" customFormat="1" s="12">
      <c r="B35" s="13" t="inlineStr">
        <is>
          <t>III</t>
        </is>
      </c>
      <c r="C35" s="14" t="inlineStr">
        <is>
          <t>ALAT PELINDUNG KERJA DAN ALAT PELINDUNG DIRI</t>
        </is>
      </c>
      <c r="D35" s="47" t="n"/>
      <c r="E35" s="47" t="n"/>
      <c r="F35" s="48" t="n"/>
      <c r="G35" s="13" t="n"/>
      <c r="H35" s="13" t="n"/>
      <c r="I35" s="13" t="n"/>
      <c r="J35" s="13" t="n"/>
      <c r="K35" s="13" t="n"/>
      <c r="L35" s="15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5" t="n"/>
      <c r="W35" s="16" t="n"/>
    </row>
    <row r="36">
      <c r="B36" s="7" t="n">
        <v>1</v>
      </c>
      <c r="C36" s="10" t="inlineStr">
        <is>
          <t>Topi Pelindung (Safety Helmet)</t>
        </is>
      </c>
      <c r="D36" s="47" t="n"/>
      <c r="E36" s="47" t="n"/>
      <c r="F36" s="48" t="n"/>
      <c r="G36" s="7" t="inlineStr">
        <is>
          <t>bh</t>
        </is>
      </c>
      <c r="H36" s="17" t="n">
        <v>5</v>
      </c>
      <c r="I36" s="18" t="n">
        <v>25000</v>
      </c>
      <c r="J36" s="18" t="n">
        <v>125000</v>
      </c>
      <c r="K36" s="17" t="n">
        <v>0.034862</v>
      </c>
      <c r="L36" s="11" t="n"/>
      <c r="M36" s="20" t="n">
        <v>0.00387356</v>
      </c>
      <c r="N36" s="20" t="n">
        <v>0.00387356</v>
      </c>
      <c r="O36" s="20" t="n">
        <v>0.00387356</v>
      </c>
      <c r="P36" s="20" t="n">
        <v>0.00387356</v>
      </c>
      <c r="Q36" s="20" t="n">
        <v>0.00387356</v>
      </c>
      <c r="R36" s="20" t="n">
        <v>0.00387356</v>
      </c>
      <c r="S36" s="20" t="n">
        <v>0.00387356</v>
      </c>
      <c r="T36" s="20" t="n">
        <v>0.00387356</v>
      </c>
      <c r="U36" s="20" t="n">
        <v>0.00387356</v>
      </c>
      <c r="V36" s="11" t="n"/>
      <c r="W36" s="19" t="n"/>
    </row>
    <row r="37">
      <c r="B37" s="7" t="n">
        <v>2</v>
      </c>
      <c r="C37" s="10" t="inlineStr">
        <is>
          <t>Pelindung pernafasan dan mulut (Masker)</t>
        </is>
      </c>
      <c r="D37" s="47" t="n"/>
      <c r="E37" s="47" t="n"/>
      <c r="F37" s="48" t="n"/>
      <c r="G37" s="7" t="inlineStr">
        <is>
          <t>Kotak</t>
        </is>
      </c>
      <c r="H37" s="17" t="n">
        <v>1</v>
      </c>
      <c r="I37" s="18" t="n">
        <v>60000</v>
      </c>
      <c r="J37" s="18" t="n">
        <v>60000</v>
      </c>
      <c r="K37" s="17" t="n">
        <v>0.016734</v>
      </c>
      <c r="L37" s="11" t="n"/>
      <c r="M37" s="20" t="n">
        <v>0.00185933</v>
      </c>
      <c r="N37" s="20" t="n">
        <v>0.00185933</v>
      </c>
      <c r="O37" s="20" t="n">
        <v>0.00185933</v>
      </c>
      <c r="P37" s="20" t="n">
        <v>0.00185933</v>
      </c>
      <c r="Q37" s="20" t="n">
        <v>0.00185933</v>
      </c>
      <c r="R37" s="20" t="n">
        <v>0.00185933</v>
      </c>
      <c r="S37" s="20" t="n">
        <v>0.00185933</v>
      </c>
      <c r="T37" s="20" t="n">
        <v>0.00185933</v>
      </c>
      <c r="U37" s="20" t="n">
        <v>0.00185933</v>
      </c>
      <c r="V37" s="11" t="n"/>
      <c r="W37" s="19" t="n"/>
    </row>
    <row r="38">
      <c r="B38" s="7" t="n">
        <v>3</v>
      </c>
      <c r="C38" s="10" t="inlineStr">
        <is>
          <t>Sepatu keselamatan (Rubber safety shoes and toe cap)</t>
        </is>
      </c>
      <c r="D38" s="47" t="n"/>
      <c r="E38" s="47" t="n"/>
      <c r="F38" s="48" t="n"/>
      <c r="G38" s="7" t="inlineStr">
        <is>
          <t>Psg</t>
        </is>
      </c>
      <c r="H38" s="17" t="n">
        <v>5</v>
      </c>
      <c r="I38" s="18" t="n">
        <v>68000</v>
      </c>
      <c r="J38" s="18" t="n">
        <v>340000</v>
      </c>
      <c r="K38" s="17" t="n">
        <v>0.09482500000000001</v>
      </c>
      <c r="L38" s="11" t="n"/>
      <c r="M38" s="20" t="n">
        <v>0.01053611</v>
      </c>
      <c r="N38" s="20" t="n">
        <v>0.01053611</v>
      </c>
      <c r="O38" s="20" t="n">
        <v>0.01053611</v>
      </c>
      <c r="P38" s="20" t="n">
        <v>0.01053611</v>
      </c>
      <c r="Q38" s="20" t="n">
        <v>0.01053611</v>
      </c>
      <c r="R38" s="20" t="n">
        <v>0.01053611</v>
      </c>
      <c r="S38" s="20" t="n">
        <v>0.01053611</v>
      </c>
      <c r="T38" s="20" t="n">
        <v>0.01053611</v>
      </c>
      <c r="U38" s="20" t="n">
        <v>0.01053611</v>
      </c>
      <c r="V38" s="11" t="n"/>
      <c r="W38" s="19" t="n"/>
    </row>
    <row r="39">
      <c r="B39" s="7" t="n">
        <v>4</v>
      </c>
      <c r="C39" s="10" t="inlineStr">
        <is>
          <t>Rompi keselamatan (safety vest)</t>
        </is>
      </c>
      <c r="D39" s="47" t="n"/>
      <c r="E39" s="47" t="n"/>
      <c r="F39" s="48" t="n"/>
      <c r="G39" s="7" t="inlineStr">
        <is>
          <t>bh</t>
        </is>
      </c>
      <c r="H39" s="17" t="n">
        <v>5</v>
      </c>
      <c r="I39" s="18" t="n">
        <v>35000</v>
      </c>
      <c r="J39" s="18" t="n">
        <v>175000</v>
      </c>
      <c r="K39" s="17" t="n">
        <v>0.048807</v>
      </c>
      <c r="L39" s="11" t="n"/>
      <c r="M39" s="20" t="n">
        <v>0.005423</v>
      </c>
      <c r="N39" s="20" t="n">
        <v>0.005423</v>
      </c>
      <c r="O39" s="20" t="n">
        <v>0.005423</v>
      </c>
      <c r="P39" s="20" t="n">
        <v>0.005423</v>
      </c>
      <c r="Q39" s="20" t="n">
        <v>0.005423</v>
      </c>
      <c r="R39" s="20" t="n">
        <v>0.005423</v>
      </c>
      <c r="S39" s="20" t="n">
        <v>0.005423</v>
      </c>
      <c r="T39" s="20" t="n">
        <v>0.005423</v>
      </c>
      <c r="U39" s="20" t="n">
        <v>0.005423</v>
      </c>
      <c r="V39" s="11" t="n"/>
      <c r="W39" s="19" t="n"/>
    </row>
    <row r="40">
      <c r="B40" s="7" t="n"/>
      <c r="C40" s="8" t="n"/>
      <c r="D40" s="9" t="n"/>
      <c r="E40" s="9" t="n"/>
      <c r="F40" s="10" t="n"/>
      <c r="G40" s="7" t="n"/>
      <c r="H40" s="7" t="n"/>
      <c r="I40" s="7" t="n"/>
      <c r="J40" s="7" t="n"/>
      <c r="K40" s="7" t="n"/>
      <c r="L40" s="11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11" t="n"/>
      <c r="W40" s="19" t="n"/>
    </row>
    <row r="41" customFormat="1" s="12">
      <c r="B41" s="13" t="inlineStr">
        <is>
          <t>IV</t>
        </is>
      </c>
      <c r="C41" s="14" t="inlineStr">
        <is>
          <t>ASURANSI DAN PERIZINAN</t>
        </is>
      </c>
      <c r="D41" s="47" t="n"/>
      <c r="E41" s="47" t="n"/>
      <c r="F41" s="48" t="n"/>
      <c r="G41" s="13" t="n"/>
      <c r="H41" s="13" t="n"/>
      <c r="I41" s="13" t="n"/>
      <c r="J41" s="13" t="n"/>
      <c r="K41" s="13" t="n"/>
      <c r="L41" s="15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5" t="n"/>
      <c r="W41" s="16" t="n"/>
    </row>
    <row r="42">
      <c r="B42" s="7" t="n">
        <v>1</v>
      </c>
      <c r="C42" s="10" t="inlineStr">
        <is>
          <t>BPJS  Ketenagakerjaan</t>
        </is>
      </c>
      <c r="D42" s="47" t="n"/>
      <c r="E42" s="47" t="n"/>
      <c r="F42" s="48" t="n"/>
      <c r="G42" s="7" t="inlineStr">
        <is>
          <t>Ls</t>
        </is>
      </c>
      <c r="H42" s="17" t="n">
        <v>1</v>
      </c>
      <c r="I42" s="18" t="n">
        <v>800000</v>
      </c>
      <c r="J42" s="18" t="n">
        <v>800000</v>
      </c>
      <c r="K42" s="17" t="n">
        <v>0.223117</v>
      </c>
      <c r="L42" s="11" t="n"/>
      <c r="M42" s="20" t="n">
        <v>0.02479078</v>
      </c>
      <c r="N42" s="20" t="n">
        <v>0.02479078</v>
      </c>
      <c r="O42" s="20" t="n">
        <v>0.02479078</v>
      </c>
      <c r="P42" s="20" t="n">
        <v>0.02479078</v>
      </c>
      <c r="Q42" s="20" t="n">
        <v>0.02479078</v>
      </c>
      <c r="R42" s="20" t="n">
        <v>0.02479078</v>
      </c>
      <c r="S42" s="20" t="n">
        <v>0.02479078</v>
      </c>
      <c r="T42" s="20" t="n">
        <v>0.02479078</v>
      </c>
      <c r="U42" s="20" t="n">
        <v>0.02479078</v>
      </c>
      <c r="V42" s="11" t="n"/>
      <c r="W42" s="19" t="n"/>
    </row>
    <row r="43">
      <c r="B43" s="7" t="n"/>
      <c r="C43" s="8" t="n"/>
      <c r="D43" s="9" t="n"/>
      <c r="E43" s="9" t="n"/>
      <c r="F43" s="10" t="n"/>
      <c r="G43" s="7" t="n"/>
      <c r="H43" s="7" t="n"/>
      <c r="I43" s="7" t="n"/>
      <c r="J43" s="7" t="n"/>
      <c r="K43" s="7" t="n"/>
      <c r="L43" s="11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11" t="n"/>
      <c r="W43" s="19" t="n"/>
    </row>
    <row r="44" customFormat="1" s="12">
      <c r="B44" s="13" t="inlineStr">
        <is>
          <t>V</t>
        </is>
      </c>
      <c r="C44" s="14" t="inlineStr">
        <is>
          <t xml:space="preserve">FASILITAS, SARANA DAN PRASARANA KESEHATAN </t>
        </is>
      </c>
      <c r="D44" s="47" t="n"/>
      <c r="E44" s="47" t="n"/>
      <c r="F44" s="48" t="n"/>
      <c r="G44" s="13" t="n"/>
      <c r="H44" s="13" t="n"/>
      <c r="I44" s="13" t="n"/>
      <c r="J44" s="13" t="n"/>
      <c r="K44" s="13" t="n"/>
      <c r="L44" s="15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5" t="n"/>
      <c r="W44" s="16" t="n"/>
    </row>
    <row r="45">
      <c r="B45" s="7" t="n">
        <v>1</v>
      </c>
      <c r="C45" s="10" t="inlineStr">
        <is>
          <t>Peralatan K3 (Kotak P3k, Obat Luka, Perban, Dll)</t>
        </is>
      </c>
      <c r="D45" s="47" t="n"/>
      <c r="E45" s="47" t="n"/>
      <c r="F45" s="48" t="n"/>
      <c r="G45" s="7" t="inlineStr">
        <is>
          <t>Ls</t>
        </is>
      </c>
      <c r="H45" s="17" t="n">
        <v>1</v>
      </c>
      <c r="I45" s="18" t="n">
        <v>1500000</v>
      </c>
      <c r="J45" s="18" t="n">
        <v>1500000</v>
      </c>
      <c r="K45" s="17" t="n">
        <v>0.418345</v>
      </c>
      <c r="L45" s="11" t="n"/>
      <c r="M45" s="20" t="n">
        <v>0.04648278</v>
      </c>
      <c r="N45" s="20" t="n">
        <v>0.04648278</v>
      </c>
      <c r="O45" s="20" t="n">
        <v>0.04648278</v>
      </c>
      <c r="P45" s="20" t="n">
        <v>0.04648278</v>
      </c>
      <c r="Q45" s="20" t="n">
        <v>0.04648278</v>
      </c>
      <c r="R45" s="20" t="n">
        <v>0.04648278</v>
      </c>
      <c r="S45" s="20" t="n">
        <v>0.04648278</v>
      </c>
      <c r="T45" s="20" t="n">
        <v>0.04648278</v>
      </c>
      <c r="U45" s="20" t="n">
        <v>0.04648278</v>
      </c>
      <c r="V45" s="11" t="n"/>
      <c r="W45" s="19" t="n"/>
    </row>
    <row r="46">
      <c r="B46" s="7" t="n"/>
      <c r="C46" s="8" t="n"/>
      <c r="D46" s="9" t="n"/>
      <c r="E46" s="9" t="n"/>
      <c r="F46" s="10" t="n"/>
      <c r="G46" s="7" t="n"/>
      <c r="H46" s="7" t="n"/>
      <c r="I46" s="7" t="n"/>
      <c r="J46" s="7" t="n"/>
      <c r="K46" s="7" t="n"/>
      <c r="L46" s="11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11" t="n"/>
      <c r="W46" s="19" t="n"/>
    </row>
    <row r="47" customFormat="1" s="12">
      <c r="B47" s="13" t="inlineStr">
        <is>
          <t>VI</t>
        </is>
      </c>
      <c r="C47" s="14" t="inlineStr">
        <is>
          <t>RAMBU-RAMBU YANG DIPERLUKAN</t>
        </is>
      </c>
      <c r="D47" s="47" t="n"/>
      <c r="E47" s="47" t="n"/>
      <c r="F47" s="48" t="n"/>
      <c r="G47" s="13" t="n"/>
      <c r="H47" s="13" t="n"/>
      <c r="I47" s="13" t="n"/>
      <c r="J47" s="13" t="n"/>
      <c r="K47" s="13" t="n"/>
      <c r="L47" s="15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5" t="n"/>
      <c r="W47" s="16" t="n"/>
    </row>
    <row r="48">
      <c r="B48" s="7" t="n">
        <v>1</v>
      </c>
      <c r="C48" s="10" t="inlineStr">
        <is>
          <t>Rambu petunjuk</t>
        </is>
      </c>
      <c r="D48" s="47" t="n"/>
      <c r="E48" s="47" t="n"/>
      <c r="F48" s="48" t="n"/>
      <c r="G48" s="7" t="inlineStr">
        <is>
          <t>Bh</t>
        </is>
      </c>
      <c r="H48" s="17" t="n">
        <v>1</v>
      </c>
      <c r="I48" s="18" t="n">
        <v>85000</v>
      </c>
      <c r="J48" s="18" t="n">
        <v>85000</v>
      </c>
      <c r="K48" s="17" t="n">
        <v>0.023706</v>
      </c>
      <c r="L48" s="11" t="n"/>
      <c r="M48" s="20" t="n">
        <v>0.023706</v>
      </c>
      <c r="N48" s="17" t="n"/>
      <c r="O48" s="17" t="n"/>
      <c r="P48" s="17" t="n"/>
      <c r="Q48" s="17" t="n"/>
      <c r="R48" s="17" t="n"/>
      <c r="S48" s="17" t="n"/>
      <c r="T48" s="17" t="n"/>
      <c r="U48" s="17" t="n"/>
      <c r="V48" s="11" t="n"/>
      <c r="W48" s="19" t="n"/>
    </row>
    <row r="49">
      <c r="B49" s="7" t="n">
        <v>2</v>
      </c>
      <c r="C49" s="10" t="inlineStr">
        <is>
          <t>Rambu peringatan</t>
        </is>
      </c>
      <c r="D49" s="47" t="n"/>
      <c r="E49" s="47" t="n"/>
      <c r="F49" s="48" t="n"/>
      <c r="G49" s="7" t="inlineStr">
        <is>
          <t>Bh</t>
        </is>
      </c>
      <c r="H49" s="17" t="n">
        <v>1</v>
      </c>
      <c r="I49" s="18" t="n">
        <v>85000</v>
      </c>
      <c r="J49" s="18" t="n">
        <v>85000</v>
      </c>
      <c r="K49" s="17" t="n">
        <v>0.023706</v>
      </c>
      <c r="L49" s="11" t="n"/>
      <c r="M49" s="20" t="n">
        <v>0.023706</v>
      </c>
      <c r="N49" s="17" t="n"/>
      <c r="O49" s="17" t="n"/>
      <c r="P49" s="17" t="n"/>
      <c r="Q49" s="17" t="n"/>
      <c r="R49" s="17" t="n"/>
      <c r="S49" s="17" t="n"/>
      <c r="T49" s="17" t="n"/>
      <c r="U49" s="17" t="n"/>
      <c r="V49" s="11" t="n"/>
      <c r="W49" s="19" t="n"/>
    </row>
    <row r="50">
      <c r="B50" s="7" t="n"/>
      <c r="C50" s="8" t="n"/>
      <c r="D50" s="9" t="n"/>
      <c r="E50" s="9" t="n"/>
      <c r="F50" s="10" t="n"/>
      <c r="G50" s="7" t="n"/>
      <c r="H50" s="7" t="n"/>
      <c r="I50" s="7" t="n"/>
      <c r="J50" s="7" t="n"/>
      <c r="K50" s="7" t="n"/>
      <c r="L50" s="11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11" t="n"/>
      <c r="W50" s="19" t="n"/>
    </row>
    <row r="51" customFormat="1" s="12">
      <c r="B51" s="13" t="inlineStr">
        <is>
          <t>B</t>
        </is>
      </c>
      <c r="C51" s="14" t="inlineStr">
        <is>
          <t>GEDUNG KELAS I (LANTAI 2)</t>
        </is>
      </c>
      <c r="D51" s="47" t="n"/>
      <c r="E51" s="47" t="n"/>
      <c r="F51" s="48" t="n"/>
      <c r="G51" s="13" t="n"/>
      <c r="H51" s="13" t="n"/>
      <c r="I51" s="13" t="n"/>
      <c r="J51" s="13" t="n"/>
      <c r="K51" s="13" t="n"/>
      <c r="L51" s="15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5" t="n"/>
      <c r="W51" s="16" t="n"/>
    </row>
    <row r="52">
      <c r="B52" s="7" t="n">
        <v>1</v>
      </c>
      <c r="C52" s="10" t="inlineStr">
        <is>
          <t>Pek. Bongkaran plafond</t>
        </is>
      </c>
      <c r="D52" s="47" t="n"/>
      <c r="E52" s="47" t="n"/>
      <c r="F52" s="48" t="n"/>
      <c r="G52" s="7" t="inlineStr">
        <is>
          <t>m2</t>
        </is>
      </c>
      <c r="H52" s="17" t="n">
        <v>207.3864</v>
      </c>
      <c r="I52" s="18" t="n">
        <v>5500</v>
      </c>
      <c r="J52" s="18" t="n">
        <v>1140625.2</v>
      </c>
      <c r="K52" s="17" t="n">
        <v>0.318116</v>
      </c>
      <c r="L52" s="11" t="n"/>
      <c r="M52" s="20" t="n">
        <v>0.159058</v>
      </c>
      <c r="N52" s="20" t="n">
        <v>0.159058</v>
      </c>
      <c r="O52" s="17" t="n"/>
      <c r="P52" s="17" t="n"/>
      <c r="Q52" s="17" t="n"/>
      <c r="R52" s="17" t="n"/>
      <c r="S52" s="17" t="n"/>
      <c r="T52" s="17" t="n"/>
      <c r="U52" s="17" t="n"/>
      <c r="V52" s="11" t="n"/>
      <c r="W52" s="19" t="n"/>
    </row>
    <row r="53">
      <c r="B53" s="7" t="n">
        <v>2</v>
      </c>
      <c r="C53" s="10" t="inlineStr">
        <is>
          <t>Pek. Pas. Plafond PVC Putih Polos</t>
        </is>
      </c>
      <c r="D53" s="47" t="n"/>
      <c r="E53" s="47" t="n"/>
      <c r="F53" s="48" t="n"/>
      <c r="G53" s="7" t="inlineStr">
        <is>
          <t>m2</t>
        </is>
      </c>
      <c r="H53" s="17" t="n">
        <v>207.3864</v>
      </c>
      <c r="I53" s="18" t="n">
        <v>255550</v>
      </c>
      <c r="J53" s="18" t="n">
        <v>52997594.52</v>
      </c>
      <c r="K53" s="17" t="n">
        <v>14.780848</v>
      </c>
      <c r="L53" s="11" t="n"/>
      <c r="M53" s="17" t="n"/>
      <c r="N53" s="17" t="n"/>
      <c r="O53" s="20" t="n">
        <v>3.695212</v>
      </c>
      <c r="P53" s="20" t="n">
        <v>3.695212</v>
      </c>
      <c r="Q53" s="20" t="n">
        <v>3.695212</v>
      </c>
      <c r="R53" s="20" t="n">
        <v>3.695212</v>
      </c>
      <c r="S53" s="17" t="n"/>
      <c r="T53" s="17" t="n"/>
      <c r="U53" s="17" t="n"/>
      <c r="V53" s="11" t="n"/>
      <c r="W53" s="19" t="n"/>
    </row>
    <row r="54">
      <c r="B54" s="7" t="n">
        <v>3</v>
      </c>
      <c r="C54" s="10" t="inlineStr">
        <is>
          <t>Pek. List Plafond PVC Putih</t>
        </is>
      </c>
      <c r="D54" s="47" t="n"/>
      <c r="E54" s="47" t="n"/>
      <c r="F54" s="48" t="n"/>
      <c r="G54" s="7" t="inlineStr">
        <is>
          <t>m'</t>
        </is>
      </c>
      <c r="H54" s="17" t="n">
        <v>99.95999999999999</v>
      </c>
      <c r="I54" s="18" t="n">
        <v>26853</v>
      </c>
      <c r="J54" s="18" t="n">
        <v>2684225.88</v>
      </c>
      <c r="K54" s="17" t="n">
        <v>0.748621</v>
      </c>
      <c r="L54" s="11" t="n"/>
      <c r="M54" s="17" t="n"/>
      <c r="N54" s="17" t="n"/>
      <c r="O54" s="20" t="n">
        <v>0.18715525</v>
      </c>
      <c r="P54" s="20" t="n">
        <v>0.18715525</v>
      </c>
      <c r="Q54" s="20" t="n">
        <v>0.18715525</v>
      </c>
      <c r="R54" s="20" t="n">
        <v>0.18715525</v>
      </c>
      <c r="S54" s="17" t="n"/>
      <c r="T54" s="17" t="n"/>
      <c r="U54" s="17" t="n"/>
      <c r="V54" s="11" t="n"/>
      <c r="W54" s="19" t="n"/>
    </row>
    <row r="55">
      <c r="B55" s="7" t="n">
        <v>4</v>
      </c>
      <c r="C55" s="10" t="inlineStr">
        <is>
          <t>Pek. Pengecatan Plafond</t>
        </is>
      </c>
      <c r="D55" s="47" t="n"/>
      <c r="E55" s="47" t="n"/>
      <c r="F55" s="48" t="n"/>
      <c r="G55" s="7" t="inlineStr">
        <is>
          <t>m2</t>
        </is>
      </c>
      <c r="H55" s="17" t="n">
        <v>152.66</v>
      </c>
      <c r="I55" s="18" t="n">
        <v>61335</v>
      </c>
      <c r="J55" s="18" t="n">
        <v>9363401.1</v>
      </c>
      <c r="K55" s="17" t="n">
        <v>2.61142</v>
      </c>
      <c r="L55" s="11" t="n"/>
      <c r="M55" s="17" t="n"/>
      <c r="N55" s="20" t="n">
        <v>0.652855</v>
      </c>
      <c r="O55" s="20" t="n">
        <v>0.652855</v>
      </c>
      <c r="P55" s="20" t="n">
        <v>0.652855</v>
      </c>
      <c r="Q55" s="20" t="n">
        <v>0.652855</v>
      </c>
      <c r="R55" s="17" t="n"/>
      <c r="S55" s="17" t="n"/>
      <c r="T55" s="17" t="n"/>
      <c r="U55" s="17" t="n"/>
      <c r="V55" s="11" t="n"/>
      <c r="W55" s="19" t="n"/>
    </row>
    <row r="56">
      <c r="B56" s="7" t="n">
        <v>5</v>
      </c>
      <c r="C56" s="10" t="inlineStr">
        <is>
          <t>Pek. Pas. Instalasi titik lampu</t>
        </is>
      </c>
      <c r="D56" s="47" t="n"/>
      <c r="E56" s="47" t="n"/>
      <c r="F56" s="48" t="n"/>
      <c r="G56" s="7" t="inlineStr">
        <is>
          <t>titik</t>
        </is>
      </c>
      <c r="H56" s="17" t="n">
        <v>12</v>
      </c>
      <c r="I56" s="18" t="n">
        <v>449902</v>
      </c>
      <c r="J56" s="18" t="n">
        <v>5398824</v>
      </c>
      <c r="K56" s="17" t="n">
        <v>1.505714</v>
      </c>
      <c r="L56" s="11" t="n"/>
      <c r="M56" s="20" t="n">
        <v>0.752857</v>
      </c>
      <c r="N56" s="20" t="n">
        <v>0.752857</v>
      </c>
      <c r="O56" s="17" t="n"/>
      <c r="P56" s="17" t="n"/>
      <c r="Q56" s="17" t="n"/>
      <c r="R56" s="17" t="n"/>
      <c r="S56" s="17" t="n"/>
      <c r="T56" s="17" t="n"/>
      <c r="U56" s="17" t="n"/>
      <c r="V56" s="11" t="n"/>
      <c r="W56" s="19" t="n"/>
    </row>
    <row r="57">
      <c r="B57" s="7" t="n">
        <v>6</v>
      </c>
      <c r="C57" s="10" t="inlineStr">
        <is>
          <t>Pek. Pasangan lampu TBS/RMI 2 x 8 watt (LED)</t>
        </is>
      </c>
      <c r="D57" s="47" t="n"/>
      <c r="E57" s="47" t="n"/>
      <c r="F57" s="48" t="n"/>
      <c r="G57" s="7" t="inlineStr">
        <is>
          <t>bh</t>
        </is>
      </c>
      <c r="H57" s="17" t="n">
        <v>12</v>
      </c>
      <c r="I57" s="18" t="n">
        <v>668187</v>
      </c>
      <c r="J57" s="18" t="n">
        <v>8018244</v>
      </c>
      <c r="K57" s="17" t="n">
        <v>2.236261</v>
      </c>
      <c r="L57" s="11" t="n"/>
      <c r="M57" s="17" t="n"/>
      <c r="N57" s="17" t="n"/>
      <c r="O57" s="17" t="n"/>
      <c r="P57" s="17" t="n"/>
      <c r="Q57" s="20" t="n">
        <v>0.55906525</v>
      </c>
      <c r="R57" s="20" t="n">
        <v>0.55906525</v>
      </c>
      <c r="S57" s="20" t="n">
        <v>0.55906525</v>
      </c>
      <c r="T57" s="20" t="n">
        <v>0.55906525</v>
      </c>
      <c r="U57" s="17" t="n"/>
      <c r="V57" s="11" t="n"/>
      <c r="W57" s="19" t="n"/>
    </row>
    <row r="58">
      <c r="B58" s="7" t="n">
        <v>7</v>
      </c>
      <c r="C58" s="10" t="inlineStr">
        <is>
          <t xml:space="preserve">Pek. Pas. Saklar ganda </t>
        </is>
      </c>
      <c r="D58" s="47" t="n"/>
      <c r="E58" s="47" t="n"/>
      <c r="F58" s="48" t="n"/>
      <c r="G58" s="7" t="inlineStr">
        <is>
          <t>bh</t>
        </is>
      </c>
      <c r="H58" s="17" t="n">
        <v>3</v>
      </c>
      <c r="I58" s="18" t="n">
        <v>63699</v>
      </c>
      <c r="J58" s="18" t="n">
        <v>191097</v>
      </c>
      <c r="K58" s="17" t="n">
        <v>0.053296</v>
      </c>
      <c r="L58" s="11" t="n"/>
      <c r="M58" s="17" t="n"/>
      <c r="N58" s="17" t="n"/>
      <c r="O58" s="17" t="n"/>
      <c r="P58" s="17" t="n"/>
      <c r="Q58" s="20" t="n">
        <v>0.013324</v>
      </c>
      <c r="R58" s="20" t="n">
        <v>0.013324</v>
      </c>
      <c r="S58" s="20" t="n">
        <v>0.013324</v>
      </c>
      <c r="T58" s="20" t="n">
        <v>0.013324</v>
      </c>
      <c r="U58" s="17" t="n"/>
      <c r="V58" s="11" t="n"/>
      <c r="W58" s="19" t="n"/>
    </row>
    <row r="59">
      <c r="B59" s="7" t="n"/>
      <c r="C59" s="8" t="n"/>
      <c r="D59" s="9" t="n"/>
      <c r="E59" s="9" t="n"/>
      <c r="F59" s="10" t="n"/>
      <c r="G59" s="7" t="n"/>
      <c r="H59" s="7" t="n"/>
      <c r="I59" s="7" t="n"/>
      <c r="J59" s="7" t="n"/>
      <c r="K59" s="7" t="n"/>
      <c r="L59" s="11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11" t="n"/>
      <c r="W59" s="19" t="n"/>
    </row>
    <row r="60" customFormat="1" s="12">
      <c r="B60" s="13" t="inlineStr">
        <is>
          <t>C</t>
        </is>
      </c>
      <c r="C60" s="14" t="inlineStr">
        <is>
          <t>GEDUNG KELAS II (LANTAI 2)</t>
        </is>
      </c>
      <c r="D60" s="47" t="n"/>
      <c r="E60" s="47" t="n"/>
      <c r="F60" s="48" t="n"/>
      <c r="G60" s="13" t="n"/>
      <c r="H60" s="13" t="n"/>
      <c r="I60" s="13" t="n"/>
      <c r="J60" s="13" t="n"/>
      <c r="K60" s="13" t="n"/>
      <c r="L60" s="15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5" t="n"/>
      <c r="W60" s="16" t="n"/>
    </row>
    <row r="61">
      <c r="B61" s="7" t="n">
        <v>1</v>
      </c>
      <c r="C61" s="10" t="inlineStr">
        <is>
          <t>Pek. Bongkaran plafond</t>
        </is>
      </c>
      <c r="D61" s="47" t="n"/>
      <c r="E61" s="47" t="n"/>
      <c r="F61" s="48" t="n"/>
      <c r="G61" s="7" t="inlineStr">
        <is>
          <t>m2</t>
        </is>
      </c>
      <c r="H61" s="17" t="n">
        <v>143.832</v>
      </c>
      <c r="I61" s="18" t="n">
        <v>5500</v>
      </c>
      <c r="J61" s="18" t="n">
        <v>791076</v>
      </c>
      <c r="K61" s="17" t="n">
        <v>0.220628</v>
      </c>
      <c r="L61" s="11" t="n"/>
      <c r="M61" s="20" t="n">
        <v>0.110314</v>
      </c>
      <c r="N61" s="20" t="n">
        <v>0.110314</v>
      </c>
      <c r="O61" s="17" t="n"/>
      <c r="P61" s="17" t="n"/>
      <c r="Q61" s="17" t="n"/>
      <c r="R61" s="17" t="n"/>
      <c r="S61" s="17" t="n"/>
      <c r="T61" s="17" t="n"/>
      <c r="U61" s="17" t="n"/>
      <c r="V61" s="11" t="n"/>
      <c r="W61" s="19" t="n"/>
    </row>
    <row r="62">
      <c r="B62" s="7" t="n">
        <v>2</v>
      </c>
      <c r="C62" s="10" t="inlineStr">
        <is>
          <t>Pek. Pas. Plafond PVC Putih Polos</t>
        </is>
      </c>
      <c r="D62" s="47" t="n"/>
      <c r="E62" s="47" t="n"/>
      <c r="F62" s="48" t="n"/>
      <c r="G62" s="7" t="inlineStr">
        <is>
          <t>m2</t>
        </is>
      </c>
      <c r="H62" s="17" t="n">
        <v>143.832</v>
      </c>
      <c r="I62" s="18" t="n">
        <v>255550</v>
      </c>
      <c r="J62" s="18" t="n">
        <v>36756267.6</v>
      </c>
      <c r="K62" s="17" t="n">
        <v>10.251197</v>
      </c>
      <c r="L62" s="11" t="n"/>
      <c r="M62" s="17" t="n"/>
      <c r="N62" s="17" t="n"/>
      <c r="O62" s="20" t="n">
        <v>1.70853283</v>
      </c>
      <c r="P62" s="20" t="n">
        <v>3.41706567</v>
      </c>
      <c r="Q62" s="20" t="n">
        <v>3.41706567</v>
      </c>
      <c r="R62" s="20" t="n">
        <v>1.70853283</v>
      </c>
      <c r="S62" s="17" t="n"/>
      <c r="T62" s="17" t="n"/>
      <c r="U62" s="17" t="n"/>
      <c r="V62" s="11" t="n"/>
      <c r="W62" s="19" t="n"/>
    </row>
    <row r="63">
      <c r="B63" s="7" t="n">
        <v>3</v>
      </c>
      <c r="C63" s="10" t="inlineStr">
        <is>
          <t>Pek. List Plafond PVC Putih</t>
        </is>
      </c>
      <c r="D63" s="47" t="n"/>
      <c r="E63" s="47" t="n"/>
      <c r="F63" s="48" t="n"/>
      <c r="G63" s="7" t="inlineStr">
        <is>
          <t>m'</t>
        </is>
      </c>
      <c r="H63" s="17" t="n">
        <v>68.08</v>
      </c>
      <c r="I63" s="18" t="n">
        <v>26853</v>
      </c>
      <c r="J63" s="18" t="n">
        <v>1828152.24</v>
      </c>
      <c r="K63" s="17" t="n">
        <v>0.509865</v>
      </c>
      <c r="L63" s="11" t="n"/>
      <c r="M63" s="17" t="n"/>
      <c r="N63" s="17" t="n"/>
      <c r="O63" s="20" t="n">
        <v>0.12746625</v>
      </c>
      <c r="P63" s="20" t="n">
        <v>0.12746625</v>
      </c>
      <c r="Q63" s="20" t="n">
        <v>0.12746625</v>
      </c>
      <c r="R63" s="20" t="n">
        <v>0.12746625</v>
      </c>
      <c r="S63" s="17" t="n"/>
      <c r="T63" s="17" t="n"/>
      <c r="U63" s="17" t="n"/>
      <c r="V63" s="11" t="n"/>
      <c r="W63" s="19" t="n"/>
    </row>
    <row r="64">
      <c r="B64" s="7" t="n">
        <v>4</v>
      </c>
      <c r="C64" s="10" t="inlineStr">
        <is>
          <t>Pek. Pengecatan Plafond</t>
        </is>
      </c>
      <c r="D64" s="47" t="n"/>
      <c r="E64" s="47" t="n"/>
      <c r="F64" s="48" t="n"/>
      <c r="G64" s="7" t="inlineStr">
        <is>
          <t>m2</t>
        </is>
      </c>
      <c r="H64" s="17" t="n">
        <v>98.09</v>
      </c>
      <c r="I64" s="18" t="n">
        <v>61335</v>
      </c>
      <c r="J64" s="18" t="n">
        <v>6016350.15</v>
      </c>
      <c r="K64" s="17" t="n">
        <v>1.677939</v>
      </c>
      <c r="L64" s="11" t="n"/>
      <c r="M64" s="17" t="n"/>
      <c r="N64" s="20" t="n">
        <v>0.5159792</v>
      </c>
      <c r="O64" s="20" t="n">
        <v>0.5159792</v>
      </c>
      <c r="P64" s="20" t="n">
        <v>0.5159792</v>
      </c>
      <c r="Q64" s="20" t="n">
        <v>0.1300014</v>
      </c>
      <c r="R64" s="17" t="n"/>
      <c r="S64" s="17" t="n"/>
      <c r="T64" s="17" t="n"/>
      <c r="U64" s="17" t="n"/>
      <c r="V64" s="11" t="n"/>
      <c r="W64" s="19" t="n"/>
    </row>
    <row r="65">
      <c r="B65" s="7" t="n">
        <v>5</v>
      </c>
      <c r="C65" s="10" t="inlineStr">
        <is>
          <t>Pek. Pas. Instalasi titik lampu</t>
        </is>
      </c>
      <c r="D65" s="47" t="n"/>
      <c r="E65" s="47" t="n"/>
      <c r="F65" s="48" t="n"/>
      <c r="G65" s="7" t="inlineStr">
        <is>
          <t>titik</t>
        </is>
      </c>
      <c r="H65" s="17" t="n">
        <v>8</v>
      </c>
      <c r="I65" s="18" t="n">
        <v>449902</v>
      </c>
      <c r="J65" s="18" t="n">
        <v>3599216</v>
      </c>
      <c r="K65" s="17" t="n">
        <v>1.003809</v>
      </c>
      <c r="L65" s="11" t="n"/>
      <c r="M65" s="20" t="n">
        <v>0.55015167</v>
      </c>
      <c r="N65" s="20" t="n">
        <v>0.45365733</v>
      </c>
      <c r="O65" s="17" t="n"/>
      <c r="P65" s="17" t="n"/>
      <c r="Q65" s="17" t="n"/>
      <c r="R65" s="17" t="n"/>
      <c r="S65" s="17" t="n"/>
      <c r="T65" s="17" t="n"/>
      <c r="U65" s="17" t="n"/>
      <c r="V65" s="11" t="n"/>
      <c r="W65" s="19" t="n"/>
    </row>
    <row r="66">
      <c r="B66" s="7" t="n">
        <v>6</v>
      </c>
      <c r="C66" s="10" t="inlineStr">
        <is>
          <t>Pek. Pasangan lampu TBS/RMI 2 x 8 watt (LED)</t>
        </is>
      </c>
      <c r="D66" s="47" t="n"/>
      <c r="E66" s="47" t="n"/>
      <c r="F66" s="48" t="n"/>
      <c r="G66" s="7" t="inlineStr">
        <is>
          <t>bh</t>
        </is>
      </c>
      <c r="H66" s="17" t="n">
        <v>8</v>
      </c>
      <c r="I66" s="18" t="n">
        <v>668187</v>
      </c>
      <c r="J66" s="18" t="n">
        <v>5345496</v>
      </c>
      <c r="K66" s="17" t="n">
        <v>1.490841</v>
      </c>
      <c r="L66" s="11" t="n"/>
      <c r="M66" s="17" t="n"/>
      <c r="N66" s="17" t="n"/>
      <c r="O66" s="17" t="n"/>
      <c r="P66" s="17" t="n"/>
      <c r="Q66" s="20" t="n">
        <v>0.37271025</v>
      </c>
      <c r="R66" s="20" t="n">
        <v>0.37271025</v>
      </c>
      <c r="S66" s="20" t="n">
        <v>0.37271025</v>
      </c>
      <c r="T66" s="20" t="n">
        <v>0.37271025</v>
      </c>
      <c r="U66" s="17" t="n"/>
      <c r="V66" s="11" t="n"/>
      <c r="W66" s="19" t="n"/>
    </row>
    <row r="67">
      <c r="B67" s="7" t="n">
        <v>7</v>
      </c>
      <c r="C67" s="10" t="inlineStr">
        <is>
          <t xml:space="preserve">Pek. Pas. Saklar ganda </t>
        </is>
      </c>
      <c r="D67" s="47" t="n"/>
      <c r="E67" s="47" t="n"/>
      <c r="F67" s="48" t="n"/>
      <c r="G67" s="7" t="inlineStr">
        <is>
          <t>bh</t>
        </is>
      </c>
      <c r="H67" s="17" t="n">
        <v>2</v>
      </c>
      <c r="I67" s="18" t="n">
        <v>63699</v>
      </c>
      <c r="J67" s="18" t="n">
        <v>127398</v>
      </c>
      <c r="K67" s="17" t="n">
        <v>0.035531</v>
      </c>
      <c r="L67" s="11" t="n"/>
      <c r="M67" s="17" t="n"/>
      <c r="N67" s="17" t="n"/>
      <c r="O67" s="17" t="n"/>
      <c r="P67" s="17" t="n"/>
      <c r="Q67" s="20" t="n">
        <v>0.00888275</v>
      </c>
      <c r="R67" s="20" t="n">
        <v>0.00888275</v>
      </c>
      <c r="S67" s="20" t="n">
        <v>0.00888275</v>
      </c>
      <c r="T67" s="20" t="n">
        <v>0.00888275</v>
      </c>
      <c r="U67" s="17" t="n"/>
      <c r="V67" s="11" t="n"/>
      <c r="W67" s="19" t="n"/>
    </row>
    <row r="68">
      <c r="B68" s="7" t="n"/>
      <c r="C68" s="8" t="n"/>
      <c r="D68" s="9" t="n"/>
      <c r="E68" s="9" t="n"/>
      <c r="F68" s="10" t="n"/>
      <c r="G68" s="7" t="n"/>
      <c r="H68" s="7" t="n"/>
      <c r="I68" s="7" t="n"/>
      <c r="J68" s="7" t="n"/>
      <c r="K68" s="7" t="n"/>
      <c r="L68" s="11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11" t="n"/>
      <c r="W68" s="19" t="n"/>
    </row>
    <row r="69" customFormat="1" s="12">
      <c r="B69" s="13" t="inlineStr">
        <is>
          <t>D</t>
        </is>
      </c>
      <c r="C69" s="14" t="inlineStr">
        <is>
          <t xml:space="preserve">GEDUNG KELAS III </t>
        </is>
      </c>
      <c r="D69" s="47" t="n"/>
      <c r="E69" s="47" t="n"/>
      <c r="F69" s="48" t="n"/>
      <c r="G69" s="13" t="n"/>
      <c r="H69" s="13" t="n"/>
      <c r="I69" s="13" t="n"/>
      <c r="J69" s="13" t="n"/>
      <c r="K69" s="13" t="n"/>
      <c r="L69" s="15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5" t="n"/>
      <c r="W69" s="16" t="n"/>
    </row>
    <row r="70" customFormat="1" s="12">
      <c r="B70" s="13" t="inlineStr">
        <is>
          <t>I</t>
        </is>
      </c>
      <c r="C70" s="14" t="inlineStr">
        <is>
          <t>Lantai 1</t>
        </is>
      </c>
      <c r="D70" s="47" t="n"/>
      <c r="E70" s="47" t="n"/>
      <c r="F70" s="48" t="n"/>
      <c r="G70" s="13" t="n"/>
      <c r="H70" s="13" t="n"/>
      <c r="I70" s="13" t="n"/>
      <c r="J70" s="13" t="n"/>
      <c r="K70" s="13" t="n"/>
      <c r="L70" s="15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5" t="n"/>
      <c r="W70" s="16" t="n"/>
    </row>
    <row r="71">
      <c r="B71" s="7" t="n">
        <v>1</v>
      </c>
      <c r="C71" s="10" t="inlineStr">
        <is>
          <t>Pek. Bongkaran plafond</t>
        </is>
      </c>
      <c r="D71" s="47" t="n"/>
      <c r="E71" s="47" t="n"/>
      <c r="F71" s="48" t="n"/>
      <c r="G71" s="7" t="inlineStr">
        <is>
          <t>m2</t>
        </is>
      </c>
      <c r="H71" s="17" t="n">
        <v>5.02</v>
      </c>
      <c r="I71" s="18" t="n">
        <v>5500</v>
      </c>
      <c r="J71" s="18" t="n">
        <v>27610</v>
      </c>
      <c r="K71" s="17" t="n">
        <v>0.0077</v>
      </c>
      <c r="L71" s="11" t="n"/>
      <c r="M71" s="17" t="n"/>
      <c r="N71" s="17" t="n"/>
      <c r="O71" s="17" t="n"/>
      <c r="P71" s="17" t="n"/>
      <c r="Q71" s="17" t="n"/>
      <c r="R71" s="17" t="n"/>
      <c r="S71" s="17" t="n"/>
      <c r="T71" s="20" t="n">
        <v>0.0077</v>
      </c>
      <c r="U71" s="17" t="n"/>
      <c r="V71" s="11" t="n"/>
      <c r="W71" s="19" t="n"/>
    </row>
    <row r="72">
      <c r="B72" s="7" t="n">
        <v>2</v>
      </c>
      <c r="C72" s="10" t="inlineStr">
        <is>
          <t>Pek. Pas. Plafond PVC Putih Polos</t>
        </is>
      </c>
      <c r="D72" s="47" t="n"/>
      <c r="E72" s="47" t="n"/>
      <c r="F72" s="48" t="n"/>
      <c r="G72" s="7" t="inlineStr">
        <is>
          <t>m2</t>
        </is>
      </c>
      <c r="H72" s="17" t="n">
        <v>5.02</v>
      </c>
      <c r="I72" s="18" t="n">
        <v>255550</v>
      </c>
      <c r="J72" s="18" t="n">
        <v>1282861</v>
      </c>
      <c r="K72" s="17" t="n">
        <v>0.357786</v>
      </c>
      <c r="L72" s="11" t="n"/>
      <c r="M72" s="17" t="n"/>
      <c r="N72" s="17" t="n"/>
      <c r="O72" s="17" t="n"/>
      <c r="P72" s="17" t="n"/>
      <c r="Q72" s="17" t="n"/>
      <c r="R72" s="17" t="n"/>
      <c r="S72" s="17" t="n"/>
      <c r="T72" s="20" t="n">
        <v>0.238524</v>
      </c>
      <c r="U72" s="20" t="n">
        <v>0.119262</v>
      </c>
      <c r="V72" s="11" t="n"/>
      <c r="W72" s="19" t="n"/>
    </row>
    <row r="73">
      <c r="B73" s="7" t="n">
        <v>3</v>
      </c>
      <c r="C73" s="10" t="inlineStr">
        <is>
          <t>Pek. List Plafond PVC Putih</t>
        </is>
      </c>
      <c r="D73" s="47" t="n"/>
      <c r="E73" s="47" t="n"/>
      <c r="F73" s="48" t="n"/>
      <c r="G73" s="7" t="inlineStr">
        <is>
          <t>m'</t>
        </is>
      </c>
      <c r="H73" s="17" t="n">
        <v>12.7</v>
      </c>
      <c r="I73" s="18" t="n">
        <v>26853</v>
      </c>
      <c r="J73" s="18" t="n">
        <v>341033.1</v>
      </c>
      <c r="K73" s="17" t="n">
        <v>0.095113</v>
      </c>
      <c r="L73" s="11" t="n"/>
      <c r="M73" s="17" t="n"/>
      <c r="N73" s="17" t="n"/>
      <c r="O73" s="17" t="n"/>
      <c r="P73" s="17" t="n"/>
      <c r="Q73" s="17" t="n"/>
      <c r="R73" s="17" t="n"/>
      <c r="S73" s="17" t="n"/>
      <c r="T73" s="20" t="n">
        <v>0.06340867</v>
      </c>
      <c r="U73" s="20" t="n">
        <v>0.03170433</v>
      </c>
      <c r="V73" s="11" t="n"/>
      <c r="W73" s="19" t="n"/>
    </row>
    <row r="74">
      <c r="B74" s="7" t="n">
        <v>4</v>
      </c>
      <c r="C74" s="10" t="inlineStr">
        <is>
          <t>Pek. Pengecatan Plafond</t>
        </is>
      </c>
      <c r="D74" s="47" t="n"/>
      <c r="E74" s="47" t="n"/>
      <c r="F74" s="48" t="n"/>
      <c r="G74" s="7" t="inlineStr">
        <is>
          <t>titik</t>
        </is>
      </c>
      <c r="H74" s="17" t="n">
        <v>2</v>
      </c>
      <c r="I74" s="18" t="n">
        <v>61335</v>
      </c>
      <c r="J74" s="18" t="n">
        <v>122670</v>
      </c>
      <c r="K74" s="17" t="n">
        <v>0.034212</v>
      </c>
      <c r="L74" s="11" t="n"/>
      <c r="M74" s="17" t="n"/>
      <c r="N74" s="17" t="n"/>
      <c r="O74" s="17" t="n"/>
      <c r="P74" s="17" t="n"/>
      <c r="Q74" s="17" t="n"/>
      <c r="R74" s="17" t="n"/>
      <c r="S74" s="17" t="n"/>
      <c r="T74" s="20" t="n">
        <v>0.022808</v>
      </c>
      <c r="U74" s="20" t="n">
        <v>0.011404</v>
      </c>
      <c r="V74" s="11" t="n"/>
      <c r="W74" s="19" t="n"/>
    </row>
    <row r="75">
      <c r="B75" s="7" t="n">
        <v>5</v>
      </c>
      <c r="C75" s="10" t="inlineStr">
        <is>
          <t>Pek. Pas. Instalasi titik lampu</t>
        </is>
      </c>
      <c r="D75" s="47" t="n"/>
      <c r="E75" s="47" t="n"/>
      <c r="F75" s="48" t="n"/>
      <c r="G75" s="7" t="inlineStr">
        <is>
          <t>bh</t>
        </is>
      </c>
      <c r="H75" s="17" t="n">
        <v>2</v>
      </c>
      <c r="I75" s="18" t="n">
        <v>449902</v>
      </c>
      <c r="J75" s="18" t="n">
        <v>899804</v>
      </c>
      <c r="K75" s="17" t="n">
        <v>0.250952</v>
      </c>
      <c r="L75" s="11" t="n"/>
      <c r="M75" s="17" t="n"/>
      <c r="N75" s="17" t="n"/>
      <c r="O75" s="17" t="n"/>
      <c r="P75" s="17" t="n"/>
      <c r="Q75" s="17" t="n"/>
      <c r="R75" s="17" t="n"/>
      <c r="S75" s="17" t="n"/>
      <c r="T75" s="20" t="n">
        <v>0.16730133</v>
      </c>
      <c r="U75" s="20" t="n">
        <v>0.08365067</v>
      </c>
      <c r="V75" s="11" t="n"/>
      <c r="W75" s="19" t="n"/>
    </row>
    <row r="76">
      <c r="B76" s="7" t="n">
        <v>6</v>
      </c>
      <c r="C76" s="10" t="inlineStr">
        <is>
          <t>Pek. Pas. Saklar single</t>
        </is>
      </c>
      <c r="D76" s="47" t="n"/>
      <c r="E76" s="47" t="n"/>
      <c r="F76" s="48" t="n"/>
      <c r="G76" s="7" t="inlineStr">
        <is>
          <t>bh</t>
        </is>
      </c>
      <c r="H76" s="17" t="n">
        <v>2</v>
      </c>
      <c r="I76" s="18" t="n">
        <v>63699</v>
      </c>
      <c r="J76" s="18" t="n">
        <v>127398</v>
      </c>
      <c r="K76" s="17" t="n">
        <v>0.035531</v>
      </c>
      <c r="L76" s="11" t="n"/>
      <c r="M76" s="17" t="n"/>
      <c r="N76" s="17" t="n"/>
      <c r="O76" s="17" t="n"/>
      <c r="P76" s="17" t="n"/>
      <c r="Q76" s="17" t="n"/>
      <c r="R76" s="17" t="n"/>
      <c r="S76" s="17" t="n"/>
      <c r="T76" s="20" t="n">
        <v>0.02368733</v>
      </c>
      <c r="U76" s="20" t="n">
        <v>0.01184367</v>
      </c>
      <c r="V76" s="11" t="n"/>
      <c r="W76" s="19" t="n"/>
    </row>
    <row r="77">
      <c r="B77" s="7" t="n"/>
      <c r="C77" s="8" t="n"/>
      <c r="D77" s="9" t="n"/>
      <c r="E77" s="9" t="n"/>
      <c r="F77" s="10" t="n"/>
      <c r="G77" s="7" t="n"/>
      <c r="H77" s="7" t="n"/>
      <c r="I77" s="7" t="n"/>
      <c r="J77" s="7" t="n"/>
      <c r="K77" s="7" t="n"/>
      <c r="L77" s="11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11" t="n"/>
      <c r="W77" s="19" t="n"/>
    </row>
    <row r="78" customFormat="1" s="12">
      <c r="B78" s="13" t="inlineStr">
        <is>
          <t>II</t>
        </is>
      </c>
      <c r="C78" s="14" t="inlineStr">
        <is>
          <t>Lantai 2</t>
        </is>
      </c>
      <c r="D78" s="47" t="n"/>
      <c r="E78" s="47" t="n"/>
      <c r="F78" s="48" t="n"/>
      <c r="G78" s="13" t="n"/>
      <c r="H78" s="13" t="n"/>
      <c r="I78" s="13" t="n"/>
      <c r="J78" s="13" t="n"/>
      <c r="K78" s="13" t="n"/>
      <c r="L78" s="15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5" t="n"/>
      <c r="W78" s="16" t="n"/>
    </row>
    <row r="79">
      <c r="B79" s="7" t="n">
        <v>1</v>
      </c>
      <c r="C79" s="10" t="inlineStr">
        <is>
          <t>Pek. Plesteran Pada Pelat Lantai Keropos</t>
        </is>
      </c>
      <c r="D79" s="47" t="n"/>
      <c r="E79" s="47" t="n"/>
      <c r="F79" s="48" t="n"/>
      <c r="G79" s="7" t="inlineStr">
        <is>
          <t>m2</t>
        </is>
      </c>
      <c r="H79" s="17" t="n">
        <v>11.6025</v>
      </c>
      <c r="I79" s="18" t="n">
        <v>97486</v>
      </c>
      <c r="J79" s="18" t="n">
        <v>1131081.315</v>
      </c>
      <c r="K79" s="17" t="n">
        <v>0.315455</v>
      </c>
      <c r="L79" s="11" t="n"/>
      <c r="M79" s="20" t="n">
        <v>0.315455</v>
      </c>
      <c r="N79" s="17" t="n"/>
      <c r="O79" s="17" t="n"/>
      <c r="P79" s="17" t="n"/>
      <c r="Q79" s="17" t="n"/>
      <c r="R79" s="17" t="n"/>
      <c r="S79" s="17" t="n"/>
      <c r="T79" s="17" t="n"/>
      <c r="U79" s="17" t="n"/>
      <c r="V79" s="11" t="n"/>
      <c r="W79" s="19" t="n"/>
    </row>
    <row r="80">
      <c r="B80" s="7" t="n">
        <v>2</v>
      </c>
      <c r="C80" s="10" t="inlineStr">
        <is>
          <t>Pek. Bongkaran plafond</t>
        </is>
      </c>
      <c r="D80" s="47" t="n"/>
      <c r="E80" s="47" t="n"/>
      <c r="F80" s="48" t="n"/>
      <c r="G80" s="7" t="inlineStr">
        <is>
          <t>m2</t>
        </is>
      </c>
      <c r="H80" s="17" t="n">
        <v>135.74925</v>
      </c>
      <c r="I80" s="18" t="n">
        <v>5500</v>
      </c>
      <c r="J80" s="18" t="n">
        <v>746620.8749999999</v>
      </c>
      <c r="K80" s="17" t="n">
        <v>0.20823</v>
      </c>
      <c r="L80" s="11" t="n"/>
      <c r="M80" s="20" t="n">
        <v>0.20823</v>
      </c>
      <c r="N80" s="17" t="n"/>
      <c r="O80" s="17" t="n"/>
      <c r="P80" s="17" t="n"/>
      <c r="Q80" s="17" t="n"/>
      <c r="R80" s="17" t="n"/>
      <c r="S80" s="17" t="n"/>
      <c r="T80" s="17" t="n"/>
      <c r="U80" s="17" t="n"/>
      <c r="V80" s="11" t="n"/>
      <c r="W80" s="19" t="n"/>
    </row>
    <row r="81">
      <c r="B81" s="7" t="n">
        <v>3</v>
      </c>
      <c r="C81" s="10" t="inlineStr">
        <is>
          <t>Pek. Pas. Plafond PVC Putih Polos</t>
        </is>
      </c>
      <c r="D81" s="47" t="n"/>
      <c r="E81" s="47" t="n"/>
      <c r="F81" s="48" t="n"/>
      <c r="G81" s="7" t="inlineStr">
        <is>
          <t>m2</t>
        </is>
      </c>
      <c r="H81" s="17" t="n">
        <v>135.74925</v>
      </c>
      <c r="I81" s="18" t="n">
        <v>255550</v>
      </c>
      <c r="J81" s="18" t="n">
        <v>34690720.8375</v>
      </c>
      <c r="K81" s="17" t="n">
        <v>9.675122999999999</v>
      </c>
      <c r="L81" s="11" t="n"/>
      <c r="M81" s="17" t="n"/>
      <c r="N81" s="20" t="n">
        <v>1.20939038</v>
      </c>
      <c r="O81" s="20" t="n">
        <v>4.78931444</v>
      </c>
      <c r="P81" s="20" t="n">
        <v>3.67641818</v>
      </c>
      <c r="Q81" s="17" t="n"/>
      <c r="R81" s="17" t="n"/>
      <c r="S81" s="17" t="n"/>
      <c r="T81" s="17" t="n"/>
      <c r="U81" s="17" t="n"/>
      <c r="V81" s="11" t="n"/>
      <c r="W81" s="19" t="n"/>
    </row>
    <row r="82">
      <c r="B82" s="7" t="n">
        <v>4</v>
      </c>
      <c r="C82" s="10" t="inlineStr">
        <is>
          <t>Pek. List Plafond PVC Putih</t>
        </is>
      </c>
      <c r="D82" s="47" t="n"/>
      <c r="E82" s="47" t="n"/>
      <c r="F82" s="48" t="n"/>
      <c r="G82" s="7" t="inlineStr">
        <is>
          <t>m'</t>
        </is>
      </c>
      <c r="H82" s="17" t="n">
        <v>66.04000000000001</v>
      </c>
      <c r="I82" s="18" t="n">
        <v>26853</v>
      </c>
      <c r="J82" s="18" t="n">
        <v>1773372.12</v>
      </c>
      <c r="K82" s="17" t="n">
        <v>0.494587</v>
      </c>
      <c r="L82" s="11" t="n"/>
      <c r="M82" s="17" t="n"/>
      <c r="N82" s="20" t="n">
        <v>0.2472935</v>
      </c>
      <c r="O82" s="20" t="n">
        <v>0.2472935</v>
      </c>
      <c r="P82" s="17" t="n"/>
      <c r="Q82" s="17" t="n"/>
      <c r="R82" s="17" t="n"/>
      <c r="S82" s="17" t="n"/>
      <c r="T82" s="17" t="n"/>
      <c r="U82" s="17" t="n"/>
      <c r="V82" s="11" t="n"/>
      <c r="W82" s="19" t="n"/>
    </row>
    <row r="83">
      <c r="B83" s="7" t="n">
        <v>5</v>
      </c>
      <c r="C83" s="10" t="inlineStr">
        <is>
          <t>Pek. Pengecatan Plafond</t>
        </is>
      </c>
      <c r="D83" s="47" t="n"/>
      <c r="E83" s="47" t="n"/>
      <c r="F83" s="48" t="n"/>
      <c r="G83" s="7" t="inlineStr">
        <is>
          <t>m2</t>
        </is>
      </c>
      <c r="H83" s="17" t="n">
        <v>161.79</v>
      </c>
      <c r="I83" s="18" t="n">
        <v>61335</v>
      </c>
      <c r="J83" s="18" t="n">
        <v>9923389.65</v>
      </c>
      <c r="K83" s="17" t="n">
        <v>2.767599</v>
      </c>
      <c r="L83" s="11" t="n"/>
      <c r="M83" s="17" t="n"/>
      <c r="N83" s="17" t="n"/>
      <c r="O83" s="17" t="n"/>
      <c r="P83" s="17" t="n"/>
      <c r="Q83" s="20" t="n">
        <v>0.1845066</v>
      </c>
      <c r="R83" s="20" t="n">
        <v>0.34594988</v>
      </c>
      <c r="S83" s="20" t="n">
        <v>2.23714252</v>
      </c>
      <c r="T83" s="17" t="n"/>
      <c r="U83" s="17" t="n"/>
      <c r="V83" s="11" t="n"/>
      <c r="W83" s="19" t="n"/>
    </row>
    <row r="84">
      <c r="B84" s="7" t="n">
        <v>6</v>
      </c>
      <c r="C84" s="10" t="inlineStr">
        <is>
          <t>Pek. Pas. Instalasi titik lampu</t>
        </is>
      </c>
      <c r="D84" s="47" t="n"/>
      <c r="E84" s="47" t="n"/>
      <c r="F84" s="48" t="n"/>
      <c r="G84" s="7" t="inlineStr">
        <is>
          <t>titik</t>
        </is>
      </c>
      <c r="H84" s="17" t="n">
        <v>8</v>
      </c>
      <c r="I84" s="18" t="n">
        <v>449902</v>
      </c>
      <c r="J84" s="18" t="n">
        <v>3599216</v>
      </c>
      <c r="K84" s="17" t="n">
        <v>1.003809</v>
      </c>
      <c r="L84" s="11" t="n"/>
      <c r="M84" s="17" t="n"/>
      <c r="N84" s="20" t="n">
        <v>0.5019045</v>
      </c>
      <c r="O84" s="20" t="n">
        <v>0.5019045</v>
      </c>
      <c r="P84" s="17" t="n"/>
      <c r="Q84" s="17" t="n"/>
      <c r="R84" s="17" t="n"/>
      <c r="S84" s="17" t="n"/>
      <c r="T84" s="17" t="n"/>
      <c r="U84" s="17" t="n"/>
      <c r="V84" s="11" t="n"/>
      <c r="W84" s="19" t="n"/>
    </row>
    <row r="85">
      <c r="B85" s="7" t="n">
        <v>7</v>
      </c>
      <c r="C85" s="10" t="inlineStr">
        <is>
          <t>Pek. Pasangan lampu TBS/RMI 2 x 8 watt (LED)</t>
        </is>
      </c>
      <c r="D85" s="47" t="n"/>
      <c r="E85" s="47" t="n"/>
      <c r="F85" s="48" t="n"/>
      <c r="G85" s="7" t="inlineStr">
        <is>
          <t>bh</t>
        </is>
      </c>
      <c r="H85" s="17" t="n">
        <v>8</v>
      </c>
      <c r="I85" s="18" t="n">
        <v>668187</v>
      </c>
      <c r="J85" s="18" t="n">
        <v>5345496</v>
      </c>
      <c r="K85" s="17" t="n">
        <v>1.490841</v>
      </c>
      <c r="L85" s="11" t="n"/>
      <c r="M85" s="17" t="n"/>
      <c r="N85" s="17" t="n"/>
      <c r="O85" s="17" t="n"/>
      <c r="P85" s="17" t="n"/>
      <c r="Q85" s="17" t="n"/>
      <c r="R85" s="17" t="n"/>
      <c r="S85" s="17" t="n"/>
      <c r="T85" s="20" t="n">
        <v>0.7454205</v>
      </c>
      <c r="U85" s="20" t="n">
        <v>0.7454205</v>
      </c>
      <c r="V85" s="11" t="n"/>
      <c r="W85" s="19" t="n"/>
    </row>
    <row r="86">
      <c r="B86" s="7" t="n">
        <v>8</v>
      </c>
      <c r="C86" s="10" t="inlineStr">
        <is>
          <t xml:space="preserve">Pek. Pas. Saklar ganda </t>
        </is>
      </c>
      <c r="D86" s="47" t="n"/>
      <c r="E86" s="47" t="n"/>
      <c r="F86" s="48" t="n"/>
      <c r="G86" s="7" t="inlineStr">
        <is>
          <t>bh</t>
        </is>
      </c>
      <c r="H86" s="17" t="n">
        <v>2</v>
      </c>
      <c r="I86" s="18" t="n">
        <v>63699</v>
      </c>
      <c r="J86" s="18" t="n">
        <v>127398</v>
      </c>
      <c r="K86" s="17" t="n">
        <v>0.035531</v>
      </c>
      <c r="L86" s="11" t="n"/>
      <c r="M86" s="17" t="n"/>
      <c r="N86" s="17" t="n"/>
      <c r="O86" s="17" t="n"/>
      <c r="P86" s="17" t="n"/>
      <c r="Q86" s="17" t="n"/>
      <c r="R86" s="17" t="n"/>
      <c r="S86" s="17" t="n"/>
      <c r="T86" s="20" t="n">
        <v>0.0177655</v>
      </c>
      <c r="U86" s="20" t="n">
        <v>0.0177655</v>
      </c>
      <c r="V86" s="11" t="n"/>
      <c r="W86" s="19" t="n"/>
    </row>
    <row r="87">
      <c r="B87" s="7" t="n"/>
      <c r="C87" s="8" t="n"/>
      <c r="D87" s="9" t="n"/>
      <c r="E87" s="9" t="n"/>
      <c r="F87" s="10" t="n"/>
      <c r="G87" s="7" t="n"/>
      <c r="H87" s="7" t="n"/>
      <c r="I87" s="7" t="n"/>
      <c r="J87" s="7" t="n"/>
      <c r="K87" s="7" t="n"/>
      <c r="L87" s="11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11" t="n"/>
      <c r="W87" s="19" t="n"/>
    </row>
    <row r="88" customFormat="1" s="12">
      <c r="B88" s="13" t="inlineStr">
        <is>
          <t>E</t>
        </is>
      </c>
      <c r="C88" s="14" t="inlineStr">
        <is>
          <t>GEDUNG KELAS IV (LANTAI 2)</t>
        </is>
      </c>
      <c r="D88" s="47" t="n"/>
      <c r="E88" s="47" t="n"/>
      <c r="F88" s="48" t="n"/>
      <c r="G88" s="13" t="n"/>
      <c r="H88" s="13" t="n"/>
      <c r="I88" s="13" t="n"/>
      <c r="J88" s="13" t="n"/>
      <c r="K88" s="13" t="n"/>
      <c r="L88" s="15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5" t="n"/>
      <c r="W88" s="16" t="n"/>
    </row>
    <row r="89" customFormat="1" s="12">
      <c r="B89" s="13" t="inlineStr">
        <is>
          <t>I</t>
        </is>
      </c>
      <c r="C89" s="14" t="inlineStr">
        <is>
          <t>Lantai 1</t>
        </is>
      </c>
      <c r="D89" s="47" t="n"/>
      <c r="E89" s="47" t="n"/>
      <c r="F89" s="48" t="n"/>
      <c r="G89" s="13" t="n"/>
      <c r="H89" s="13" t="n"/>
      <c r="I89" s="13" t="n"/>
      <c r="J89" s="13" t="n"/>
      <c r="K89" s="13" t="n"/>
      <c r="L89" s="15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5" t="n"/>
      <c r="W89" s="16" t="n"/>
    </row>
    <row r="90">
      <c r="B90" s="7" t="n">
        <v>1</v>
      </c>
      <c r="C90" s="10" t="inlineStr">
        <is>
          <t>Pek. Bongkaran plafond</t>
        </is>
      </c>
      <c r="D90" s="47" t="n"/>
      <c r="E90" s="47" t="n"/>
      <c r="F90" s="48" t="n"/>
      <c r="G90" s="7" t="inlineStr">
        <is>
          <t>m2</t>
        </is>
      </c>
      <c r="H90" s="17" t="n">
        <v>414.1776</v>
      </c>
      <c r="I90" s="18" t="n">
        <v>5500</v>
      </c>
      <c r="J90" s="18" t="n">
        <v>2277976.8</v>
      </c>
      <c r="K90" s="17" t="n">
        <v>0.63532</v>
      </c>
      <c r="L90" s="11" t="n"/>
      <c r="M90" s="17" t="n"/>
      <c r="N90" s="20" t="n">
        <v>0.63532</v>
      </c>
      <c r="O90" s="17" t="n"/>
      <c r="P90" s="17" t="n"/>
      <c r="Q90" s="17" t="n"/>
      <c r="R90" s="17" t="n"/>
      <c r="S90" s="17" t="n"/>
      <c r="T90" s="17" t="n"/>
      <c r="U90" s="17" t="n"/>
      <c r="V90" s="11" t="n"/>
      <c r="W90" s="19" t="n"/>
    </row>
    <row r="91">
      <c r="B91" s="7" t="n">
        <v>2</v>
      </c>
      <c r="C91" s="10" t="inlineStr">
        <is>
          <t>Pek. Pas. Plafond PVC Putih Polos</t>
        </is>
      </c>
      <c r="D91" s="47" t="n"/>
      <c r="E91" s="47" t="n"/>
      <c r="F91" s="48" t="n"/>
      <c r="G91" s="7" t="inlineStr">
        <is>
          <t>m2</t>
        </is>
      </c>
      <c r="H91" s="17" t="n">
        <v>240.9876</v>
      </c>
      <c r="I91" s="18" t="n">
        <v>255550</v>
      </c>
      <c r="J91" s="18" t="n">
        <v>61584381.18</v>
      </c>
      <c r="K91" s="17" t="n">
        <v>17.175673</v>
      </c>
      <c r="L91" s="11" t="n"/>
      <c r="M91" s="17" t="n"/>
      <c r="N91" s="17" t="n"/>
      <c r="O91" s="20" t="n">
        <v>0.95420406</v>
      </c>
      <c r="P91" s="20" t="n">
        <v>5.18136414</v>
      </c>
      <c r="Q91" s="20" t="n">
        <v>4.29391825</v>
      </c>
      <c r="R91" s="20" t="n">
        <v>3.37309328</v>
      </c>
      <c r="S91" s="20" t="n">
        <v>3.37309328</v>
      </c>
      <c r="T91" s="17" t="n"/>
      <c r="U91" s="17" t="n"/>
      <c r="V91" s="11" t="n"/>
      <c r="W91" s="19" t="n"/>
    </row>
    <row r="92">
      <c r="B92" s="7" t="n">
        <v>3</v>
      </c>
      <c r="C92" s="10" t="inlineStr">
        <is>
          <t>Pek. Pas. Plafond PVC Motif Kayu</t>
        </is>
      </c>
      <c r="D92" s="47" t="n"/>
      <c r="E92" s="47" t="n"/>
      <c r="F92" s="48" t="n"/>
      <c r="G92" s="7" t="inlineStr">
        <is>
          <t>m2</t>
        </is>
      </c>
      <c r="H92" s="17" t="n">
        <v>173.19</v>
      </c>
      <c r="I92" s="18" t="n">
        <v>277206</v>
      </c>
      <c r="J92" s="18" t="n">
        <v>48009307.14</v>
      </c>
      <c r="K92" s="17" t="n">
        <v>13.389631</v>
      </c>
      <c r="L92" s="11" t="n"/>
      <c r="M92" s="17" t="n"/>
      <c r="N92" s="17" t="n"/>
      <c r="O92" s="20" t="n">
        <v>0.74386839</v>
      </c>
      <c r="P92" s="20" t="n">
        <v>9.231605220000001</v>
      </c>
      <c r="Q92" s="20" t="n">
        <v>3.34740775</v>
      </c>
      <c r="R92" s="20" t="n">
        <v>0.03337482</v>
      </c>
      <c r="S92" s="20" t="n">
        <v>0.03337482</v>
      </c>
      <c r="T92" s="17" t="n"/>
      <c r="U92" s="17" t="n"/>
      <c r="V92" s="11" t="n"/>
      <c r="W92" s="19" t="n"/>
    </row>
    <row r="93">
      <c r="B93" s="7" t="n">
        <v>4</v>
      </c>
      <c r="C93" s="10" t="inlineStr">
        <is>
          <t>Pek. List Plafond PVC Putih</t>
        </is>
      </c>
      <c r="D93" s="47" t="n"/>
      <c r="E93" s="47" t="n"/>
      <c r="F93" s="48" t="n"/>
      <c r="G93" s="7" t="inlineStr">
        <is>
          <t>m'</t>
        </is>
      </c>
      <c r="H93" s="17" t="n">
        <v>124.2</v>
      </c>
      <c r="I93" s="18" t="n">
        <v>26853</v>
      </c>
      <c r="J93" s="18" t="n">
        <v>3335142.6</v>
      </c>
      <c r="K93" s="17" t="n">
        <v>0.93016</v>
      </c>
      <c r="L93" s="11" t="n"/>
      <c r="M93" s="17" t="n"/>
      <c r="N93" s="17" t="n"/>
      <c r="O93" s="20" t="n">
        <v>0.15502667</v>
      </c>
      <c r="P93" s="20" t="n">
        <v>0.31005333</v>
      </c>
      <c r="Q93" s="20" t="n">
        <v>0.23254</v>
      </c>
      <c r="R93" s="20" t="n">
        <v>0.11627</v>
      </c>
      <c r="S93" s="20" t="n">
        <v>0.11627</v>
      </c>
      <c r="T93" s="17" t="n"/>
      <c r="U93" s="17" t="n"/>
      <c r="V93" s="11" t="n"/>
      <c r="W93" s="19" t="n"/>
    </row>
    <row r="94">
      <c r="B94" s="7" t="n">
        <v>5</v>
      </c>
      <c r="C94" s="10" t="inlineStr">
        <is>
          <t>Pek. List Plafond PVC Coklat</t>
        </is>
      </c>
      <c r="D94" s="47" t="n"/>
      <c r="E94" s="47" t="n"/>
      <c r="F94" s="48" t="n"/>
      <c r="G94" s="7" t="inlineStr">
        <is>
          <t>m'</t>
        </is>
      </c>
      <c r="H94" s="17" t="n">
        <v>213.58</v>
      </c>
      <c r="I94" s="18" t="n">
        <v>26853</v>
      </c>
      <c r="J94" s="18" t="n">
        <v>5735263.74</v>
      </c>
      <c r="K94" s="17" t="n">
        <v>1.599545</v>
      </c>
      <c r="L94" s="11" t="n"/>
      <c r="M94" s="17" t="n"/>
      <c r="N94" s="17" t="n"/>
      <c r="O94" s="20" t="n">
        <v>0.39988625</v>
      </c>
      <c r="P94" s="20" t="n">
        <v>0.39988625</v>
      </c>
      <c r="Q94" s="20" t="n">
        <v>0.39988625</v>
      </c>
      <c r="R94" s="20" t="n">
        <v>0.19994313</v>
      </c>
      <c r="S94" s="20" t="n">
        <v>0.19994313</v>
      </c>
      <c r="T94" s="17" t="n"/>
      <c r="U94" s="17" t="n"/>
      <c r="V94" s="11" t="n"/>
      <c r="W94" s="19" t="n"/>
    </row>
    <row r="95">
      <c r="B95" s="7" t="n">
        <v>6</v>
      </c>
      <c r="C95" s="10" t="inlineStr">
        <is>
          <t>Pek. Pas. Instalasi titik lampu</t>
        </is>
      </c>
      <c r="D95" s="47" t="n"/>
      <c r="E95" s="47" t="n"/>
      <c r="F95" s="48" t="n"/>
      <c r="G95" s="7" t="inlineStr">
        <is>
          <t>titik</t>
        </is>
      </c>
      <c r="H95" s="17" t="n">
        <v>39</v>
      </c>
      <c r="I95" s="18" t="n">
        <v>449902</v>
      </c>
      <c r="J95" s="18" t="n">
        <v>17546178</v>
      </c>
      <c r="K95" s="17" t="n">
        <v>4.893569</v>
      </c>
      <c r="L95" s="11" t="n"/>
      <c r="M95" s="17" t="n"/>
      <c r="N95" s="20" t="n">
        <v>1.22339225</v>
      </c>
      <c r="O95" s="20" t="n">
        <v>1.63118967</v>
      </c>
      <c r="P95" s="20" t="n">
        <v>2.03898708</v>
      </c>
      <c r="Q95" s="17" t="n"/>
      <c r="R95" s="17" t="n"/>
      <c r="S95" s="17" t="n"/>
      <c r="T95" s="17" t="n"/>
      <c r="U95" s="17" t="n"/>
      <c r="V95" s="11" t="n"/>
      <c r="W95" s="19" t="n"/>
    </row>
    <row r="96">
      <c r="B96" s="7" t="n">
        <v>7</v>
      </c>
      <c r="C96" s="10" t="inlineStr">
        <is>
          <t>Pek. Pas. Lampu 10 watt + downlight</t>
        </is>
      </c>
      <c r="D96" s="47" t="n"/>
      <c r="E96" s="47" t="n"/>
      <c r="F96" s="48" t="n"/>
      <c r="G96" s="7" t="inlineStr">
        <is>
          <t>bh</t>
        </is>
      </c>
      <c r="H96" s="17" t="n">
        <v>15</v>
      </c>
      <c r="I96" s="18" t="n">
        <v>244459</v>
      </c>
      <c r="J96" s="18" t="n">
        <v>3666885</v>
      </c>
      <c r="K96" s="17" t="n">
        <v>1.022682</v>
      </c>
      <c r="L96" s="11" t="n"/>
      <c r="M96" s="17" t="n"/>
      <c r="N96" s="17" t="n"/>
      <c r="O96" s="17" t="n"/>
      <c r="P96" s="17" t="n"/>
      <c r="Q96" s="17" t="n"/>
      <c r="R96" s="17" t="n"/>
      <c r="S96" s="20" t="n">
        <v>0.6817879999999999</v>
      </c>
      <c r="T96" s="20" t="n">
        <v>0.340894</v>
      </c>
      <c r="U96" s="17" t="n"/>
      <c r="V96" s="11" t="n"/>
      <c r="W96" s="19" t="n"/>
    </row>
    <row r="97">
      <c r="B97" s="7" t="n">
        <v>8</v>
      </c>
      <c r="C97" s="10" t="inlineStr">
        <is>
          <t>Pek. Pasangan lampu TBS/RMI 2 x 8 watt (LED)</t>
        </is>
      </c>
      <c r="D97" s="47" t="n"/>
      <c r="E97" s="47" t="n"/>
      <c r="F97" s="48" t="n"/>
      <c r="G97" s="7" t="inlineStr">
        <is>
          <t>bh</t>
        </is>
      </c>
      <c r="H97" s="17" t="n">
        <v>24</v>
      </c>
      <c r="I97" s="18" t="n">
        <v>668187</v>
      </c>
      <c r="J97" s="18" t="n">
        <v>16036488</v>
      </c>
      <c r="K97" s="17" t="n">
        <v>4.472522</v>
      </c>
      <c r="L97" s="11" t="n"/>
      <c r="M97" s="17" t="n"/>
      <c r="N97" s="17" t="n"/>
      <c r="O97" s="17" t="n"/>
      <c r="P97" s="17" t="n"/>
      <c r="Q97" s="17" t="n"/>
      <c r="R97" s="17" t="n"/>
      <c r="S97" s="20" t="n">
        <v>2.98168133</v>
      </c>
      <c r="T97" s="20" t="n">
        <v>1.49084067</v>
      </c>
      <c r="U97" s="17" t="n"/>
      <c r="V97" s="11" t="n"/>
      <c r="W97" s="19" t="n"/>
    </row>
    <row r="98">
      <c r="B98" s="7" t="n">
        <v>9</v>
      </c>
      <c r="C98" s="10" t="inlineStr">
        <is>
          <t xml:space="preserve">Pek. Pas. Saklar ganda </t>
        </is>
      </c>
      <c r="D98" s="47" t="n"/>
      <c r="E98" s="47" t="n"/>
      <c r="F98" s="48" t="n"/>
      <c r="G98" s="7" t="inlineStr">
        <is>
          <t>bh</t>
        </is>
      </c>
      <c r="H98" s="17" t="n">
        <v>4</v>
      </c>
      <c r="I98" s="18" t="n">
        <v>63699</v>
      </c>
      <c r="J98" s="18" t="n">
        <v>254796</v>
      </c>
      <c r="K98" s="17" t="n">
        <v>0.071062</v>
      </c>
      <c r="L98" s="11" t="n"/>
      <c r="M98" s="17" t="n"/>
      <c r="N98" s="17" t="n"/>
      <c r="O98" s="17" t="n"/>
      <c r="P98" s="17" t="n"/>
      <c r="Q98" s="17" t="n"/>
      <c r="R98" s="17" t="n"/>
      <c r="S98" s="20" t="n">
        <v>0.04737467</v>
      </c>
      <c r="T98" s="20" t="n">
        <v>0.02368733</v>
      </c>
      <c r="U98" s="17" t="n"/>
      <c r="V98" s="11" t="n"/>
      <c r="W98" s="19" t="n"/>
    </row>
    <row r="99">
      <c r="B99" s="7" t="n">
        <v>10</v>
      </c>
      <c r="C99" s="10" t="inlineStr">
        <is>
          <t>Pek. Pas. Saklar single</t>
        </is>
      </c>
      <c r="D99" s="47" t="n"/>
      <c r="E99" s="47" t="n"/>
      <c r="F99" s="48" t="n"/>
      <c r="G99" s="7" t="inlineStr">
        <is>
          <t>bh</t>
        </is>
      </c>
      <c r="H99" s="17" t="n">
        <v>2</v>
      </c>
      <c r="I99" s="18" t="n">
        <v>46759</v>
      </c>
      <c r="J99" s="18" t="n">
        <v>93518</v>
      </c>
      <c r="K99" s="17" t="n">
        <v>0.026082</v>
      </c>
      <c r="L99" s="11" t="n"/>
      <c r="M99" s="17" t="n"/>
      <c r="N99" s="17" t="n"/>
      <c r="O99" s="17" t="n"/>
      <c r="P99" s="17" t="n"/>
      <c r="Q99" s="17" t="n"/>
      <c r="R99" s="17" t="n"/>
      <c r="S99" s="20" t="n">
        <v>0.017388</v>
      </c>
      <c r="T99" s="20" t="n">
        <v>0.008694</v>
      </c>
      <c r="U99" s="17" t="n"/>
      <c r="V99" s="11" t="n"/>
      <c r="W99" s="19" t="n"/>
    </row>
    <row r="100">
      <c r="B100" s="7" t="n"/>
      <c r="C100" s="8" t="n"/>
      <c r="D100" s="9" t="n"/>
      <c r="E100" s="9" t="n"/>
      <c r="F100" s="10" t="n"/>
      <c r="G100" s="7" t="n"/>
      <c r="H100" s="7" t="n"/>
      <c r="I100" s="7" t="n"/>
      <c r="J100" s="7" t="n"/>
      <c r="K100" s="7" t="n"/>
      <c r="L100" s="11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11" t="n"/>
      <c r="W100" s="19" t="n"/>
    </row>
    <row r="101">
      <c r="B101" s="21" t="n"/>
      <c r="C101" s="22" t="n"/>
      <c r="D101" s="23" t="n"/>
      <c r="E101" s="23" t="n"/>
      <c r="F101" s="24" t="n"/>
      <c r="G101" s="21" t="n"/>
      <c r="H101" s="21" t="n"/>
      <c r="I101" s="21" t="n"/>
      <c r="J101" s="21" t="n"/>
      <c r="K101" s="21" t="n"/>
      <c r="L101" s="1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11" t="n"/>
      <c r="W101" s="19" t="n"/>
    </row>
    <row r="102">
      <c r="B102" s="25" t="inlineStr">
        <is>
          <t>JUMLAH TOTAL</t>
        </is>
      </c>
      <c r="C102" s="33" t="n"/>
      <c r="D102" s="33" t="n"/>
      <c r="E102" s="33" t="n"/>
      <c r="F102" s="33" t="n"/>
      <c r="G102" s="33" t="n"/>
      <c r="H102" s="33" t="n"/>
      <c r="I102" s="49" t="n"/>
      <c r="J102" s="26">
        <f>SUM(J25:J99)</f>
        <v/>
      </c>
      <c r="K102" s="27">
        <f>SUM(K25:K99)</f>
        <v/>
      </c>
      <c r="L102" s="28" t="n"/>
      <c r="V102" s="28" t="n"/>
      <c r="W102" s="29" t="n"/>
    </row>
    <row r="103">
      <c r="B103" s="25" t="inlineStr">
        <is>
          <t>PPN 11%</t>
        </is>
      </c>
      <c r="C103" s="33" t="n"/>
      <c r="D103" s="33" t="n"/>
      <c r="E103" s="33" t="n"/>
      <c r="F103" s="33" t="n"/>
      <c r="G103" s="33" t="n"/>
      <c r="H103" s="33" t="n"/>
      <c r="I103" s="49" t="n"/>
      <c r="J103" s="26">
        <f>J102*11%</f>
        <v/>
      </c>
      <c r="K103" s="25" t="n"/>
      <c r="L103" s="28" t="n"/>
      <c r="V103" s="28" t="n"/>
      <c r="W103" s="29" t="n"/>
    </row>
    <row r="104">
      <c r="B104" s="25" t="inlineStr">
        <is>
          <t>JUMLAH TOTAL + PPN</t>
        </is>
      </c>
      <c r="C104" s="33" t="n"/>
      <c r="D104" s="33" t="n"/>
      <c r="E104" s="33" t="n"/>
      <c r="F104" s="33" t="n"/>
      <c r="G104" s="33" t="n"/>
      <c r="H104" s="33" t="n"/>
      <c r="I104" s="49" t="n"/>
      <c r="J104" s="26">
        <f>J102+J103</f>
        <v/>
      </c>
      <c r="K104" s="25" t="n"/>
      <c r="L104" s="28" t="n"/>
      <c r="V104" s="28" t="n"/>
      <c r="W104" s="29" t="n"/>
    </row>
    <row r="105">
      <c r="B105" s="25" t="inlineStr">
        <is>
          <t>DIBULATKAN</t>
        </is>
      </c>
      <c r="C105" s="33" t="n"/>
      <c r="D105" s="33" t="n"/>
      <c r="E105" s="33" t="n"/>
      <c r="F105" s="33" t="n"/>
      <c r="G105" s="33" t="n"/>
      <c r="H105" s="33" t="n"/>
      <c r="I105" s="49" t="n"/>
      <c r="J105" s="26">
        <f>ROUND(J104,-3)</f>
        <v/>
      </c>
      <c r="K105" s="25" t="n"/>
      <c r="L105" s="28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28" t="n"/>
      <c r="W105" s="29" t="n"/>
    </row>
    <row r="106">
      <c r="B106" s="31" t="inlineStr">
        <is>
          <t>RENCANA FISIK PEKERJAAN</t>
        </is>
      </c>
      <c r="C106" s="47" t="n"/>
      <c r="D106" s="47" t="n"/>
      <c r="E106" s="32" t="inlineStr">
        <is>
          <t>JUMLAH PER-MINGGU</t>
        </is>
      </c>
      <c r="F106" s="33" t="n"/>
      <c r="G106" s="33" t="n"/>
      <c r="H106" s="33" t="n"/>
      <c r="I106" s="33" t="n"/>
      <c r="J106" s="33" t="n"/>
      <c r="K106" s="33" t="n"/>
      <c r="L106" s="28" t="n"/>
      <c r="M106" s="34" t="n">
        <v>2.312</v>
      </c>
      <c r="N106" s="34" t="n">
        <v>6.631</v>
      </c>
      <c r="O106" s="34" t="n">
        <v>16.479</v>
      </c>
      <c r="P106" s="34" t="n">
        <v>29.603</v>
      </c>
      <c r="Q106" s="34" t="n">
        <v>17.791</v>
      </c>
      <c r="R106" s="34" t="n">
        <v>10.91</v>
      </c>
      <c r="S106" s="34" t="n">
        <v>10.811</v>
      </c>
      <c r="T106" s="34" t="n">
        <v>4.274</v>
      </c>
      <c r="U106" s="34" t="n">
        <v>1.19</v>
      </c>
      <c r="V106" s="28" t="n"/>
      <c r="W106" s="29" t="n"/>
    </row>
    <row r="107">
      <c r="B107" s="44" t="n"/>
      <c r="C107" s="30" t="n"/>
      <c r="D107" s="30" t="n"/>
      <c r="E107" s="32" t="inlineStr">
        <is>
          <t>JUMLAH KOMULATIF PER-MINGGU</t>
        </is>
      </c>
      <c r="F107" s="33" t="n"/>
      <c r="G107" s="33" t="n"/>
      <c r="H107" s="33" t="n"/>
      <c r="I107" s="33" t="n"/>
      <c r="J107" s="33" t="n"/>
      <c r="K107" s="33" t="n"/>
      <c r="L107" s="28" t="n"/>
      <c r="M107" s="34" t="n">
        <v>2.312</v>
      </c>
      <c r="N107" s="34" t="n">
        <v>8.943</v>
      </c>
      <c r="O107" s="34" t="n">
        <v>25.422</v>
      </c>
      <c r="P107" s="34" t="n">
        <v>55.025</v>
      </c>
      <c r="Q107" s="34" t="n">
        <v>72.816</v>
      </c>
      <c r="R107" s="34" t="n">
        <v>83.726</v>
      </c>
      <c r="S107" s="34" t="n">
        <v>94.53700000000001</v>
      </c>
      <c r="T107" s="34" t="n">
        <v>98.81</v>
      </c>
      <c r="U107" s="34" t="n">
        <v>100</v>
      </c>
      <c r="V107" s="28" t="n"/>
      <c r="W107" s="29" t="n"/>
    </row>
    <row r="108">
      <c r="B108" s="31" t="inlineStr">
        <is>
          <t>REALISASI FISIK PEKERJAAN</t>
        </is>
      </c>
      <c r="C108" s="47" t="n"/>
      <c r="D108" s="47" t="n"/>
      <c r="E108" s="35" t="inlineStr">
        <is>
          <t>REALISASI PER-MINGGU</t>
        </is>
      </c>
      <c r="F108" s="33" t="n"/>
      <c r="G108" s="33" t="n"/>
      <c r="H108" s="33" t="n"/>
      <c r="I108" s="33" t="n"/>
      <c r="J108" s="33" t="n"/>
      <c r="K108" s="33" t="n"/>
      <c r="L108" s="28" t="n"/>
      <c r="M108" s="34" t="n">
        <v>0</v>
      </c>
      <c r="N108" s="34" t="n">
        <v>0</v>
      </c>
      <c r="O108" s="34" t="n">
        <v>0</v>
      </c>
      <c r="P108" s="34" t="n">
        <v>0</v>
      </c>
      <c r="Q108" s="34" t="n">
        <v>0</v>
      </c>
      <c r="R108" s="34" t="n">
        <v>0</v>
      </c>
      <c r="S108" s="34" t="n">
        <v>0</v>
      </c>
      <c r="T108" s="34" t="n">
        <v>0</v>
      </c>
      <c r="U108" s="34" t="n">
        <v>0</v>
      </c>
      <c r="V108" s="28" t="n"/>
      <c r="W108" s="29" t="n"/>
    </row>
    <row r="109">
      <c r="B109" s="44" t="n"/>
      <c r="C109" s="30" t="n"/>
      <c r="D109" s="30" t="n"/>
      <c r="E109" s="35" t="inlineStr">
        <is>
          <t>REALISASI KOMULATIF</t>
        </is>
      </c>
      <c r="F109" s="33" t="n"/>
      <c r="G109" s="33" t="n"/>
      <c r="H109" s="33" t="n"/>
      <c r="I109" s="33" t="n"/>
      <c r="J109" s="33" t="n"/>
      <c r="K109" s="33" t="n"/>
      <c r="L109" s="28" t="n"/>
      <c r="M109" s="34" t="n">
        <v>0</v>
      </c>
      <c r="N109" s="34" t="n">
        <v>0</v>
      </c>
      <c r="O109" s="34" t="n">
        <v>0</v>
      </c>
      <c r="P109" s="34" t="n">
        <v>0</v>
      </c>
      <c r="Q109" s="34" t="n">
        <v>0</v>
      </c>
      <c r="R109" s="34" t="n">
        <v>0</v>
      </c>
      <c r="S109" s="34" t="n">
        <v>0</v>
      </c>
      <c r="T109" s="34" t="n">
        <v>0</v>
      </c>
      <c r="U109" s="34" t="n">
        <v>0</v>
      </c>
      <c r="V109" s="28" t="n"/>
      <c r="W109" s="29" t="n"/>
    </row>
    <row r="110">
      <c r="B110" s="36" t="inlineStr">
        <is>
          <t>DEVIASI</t>
        </is>
      </c>
      <c r="C110" s="33" t="n"/>
      <c r="D110" s="33" t="n"/>
      <c r="E110" s="35" t="inlineStr">
        <is>
          <t>JUMLAH KOMULATIF PER-MINGGU</t>
        </is>
      </c>
      <c r="F110" s="33" t="n"/>
      <c r="G110" s="33" t="n"/>
      <c r="H110" s="33" t="n"/>
      <c r="I110" s="33" t="n"/>
      <c r="J110" s="33" t="n"/>
      <c r="K110" s="33" t="n"/>
      <c r="L110" s="37" t="n"/>
      <c r="M110" s="34" t="n">
        <v>-2.312</v>
      </c>
      <c r="N110" s="34" t="n">
        <v>-8.943</v>
      </c>
      <c r="O110" s="34" t="n">
        <v>-25.422</v>
      </c>
      <c r="P110" s="34" t="n">
        <v>-55.025</v>
      </c>
      <c r="Q110" s="34" t="n">
        <v>-72.816</v>
      </c>
      <c r="R110" s="34" t="n">
        <v>-83.726</v>
      </c>
      <c r="S110" s="34" t="n">
        <v>-94.53700000000001</v>
      </c>
      <c r="T110" s="34" t="n">
        <v>-98.81</v>
      </c>
      <c r="U110" s="34" t="n">
        <v>-100</v>
      </c>
      <c r="V110" s="37" t="n"/>
      <c r="W110" s="38" t="n"/>
    </row>
    <row r="111">
      <c r="B111" s="39" t="n"/>
      <c r="W111" s="40" t="n"/>
    </row>
    <row r="112">
      <c r="B112" s="39" t="n"/>
      <c r="W112" s="40" t="n"/>
    </row>
    <row r="113">
      <c r="B113" s="39" t="n"/>
      <c r="F113" s="41" t="inlineStr">
        <is>
          <t>Menyetujui</t>
        </is>
      </c>
      <c r="M113" s="41" t="inlineStr">
        <is>
          <t>Diperiksa Oleh</t>
        </is>
      </c>
      <c r="U113" s="41" t="inlineStr">
        <is>
          <t>Badung, 2 Maret 2026</t>
        </is>
      </c>
      <c r="W113" s="40" t="n"/>
    </row>
    <row r="114">
      <c r="B114" s="39" t="n"/>
      <c r="F114" s="41" t="inlineStr">
        <is>
          <t>Pejabat Pembuat Komitmen (PPK)</t>
        </is>
      </c>
      <c r="M114" s="41" t="inlineStr">
        <is>
          <t>Konsultan Pengawas</t>
        </is>
      </c>
      <c r="U114" s="41" t="inlineStr">
        <is>
          <t>Dibuat Oleh</t>
        </is>
      </c>
      <c r="W114" s="40" t="n"/>
    </row>
    <row r="115">
      <c r="B115" s="39" t="n"/>
      <c r="F115" s="41" t="inlineStr">
        <is>
          <t>Kepala Bidang Pendidikan Sekolah Menengah Pertama</t>
        </is>
      </c>
      <c r="M115" s="41" t="inlineStr">
        <is>
          <t>CV. GANESHA TEKNIKA</t>
        </is>
      </c>
      <c r="U115" s="41" t="inlineStr">
        <is>
          <t>Kontraktor Pelaksana</t>
        </is>
      </c>
      <c r="W115" s="40" t="n"/>
    </row>
    <row r="116">
      <c r="B116" s="39" t="n"/>
      <c r="F116" s="41" t="inlineStr">
        <is>
          <t>Dinas Pendidikan, Kepemudaan, dan Olahraga Kabupaten Badung</t>
        </is>
      </c>
      <c r="U116" s="41" t="inlineStr">
        <is>
          <t>CV. BATU KARANG</t>
        </is>
      </c>
      <c r="W116" s="40" t="n"/>
    </row>
    <row r="117">
      <c r="B117" s="39" t="n"/>
      <c r="W117" s="40" t="n"/>
    </row>
    <row r="118">
      <c r="B118" s="39" t="n"/>
      <c r="W118" s="40" t="n"/>
    </row>
    <row r="119">
      <c r="B119" s="39" t="n"/>
      <c r="W119" s="40" t="n"/>
    </row>
    <row r="120">
      <c r="B120" s="39" t="n"/>
      <c r="W120" s="40" t="n"/>
    </row>
    <row r="121">
      <c r="B121" s="39" t="n"/>
      <c r="F121" s="42" t="inlineStr">
        <is>
          <t>I Nyoman Agus Satwika Ariada, ST.</t>
        </is>
      </c>
      <c r="M121" s="42" t="inlineStr">
        <is>
          <t>Ir. Ni Putu Nurzely Astuti, ST.,M.Si</t>
        </is>
      </c>
      <c r="U121" s="42" t="inlineStr">
        <is>
          <t>I Made Widihasa Karang</t>
        </is>
      </c>
      <c r="W121" s="40" t="n"/>
    </row>
    <row r="122">
      <c r="B122" s="39" t="n"/>
      <c r="F122" s="43" t="inlineStr">
        <is>
          <t>NIP : 19630530 199703 1 003</t>
        </is>
      </c>
      <c r="M122" s="43" t="inlineStr">
        <is>
          <t>Direktur</t>
        </is>
      </c>
      <c r="U122" s="43" t="inlineStr">
        <is>
          <t>Direktur</t>
        </is>
      </c>
      <c r="W122" s="40" t="n"/>
    </row>
    <row r="123">
      <c r="B123" s="44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45" t="n"/>
    </row>
  </sheetData>
  <mergeCells count="88">
    <mergeCell ref="C52:F52"/>
    <mergeCell ref="C61:F61"/>
    <mergeCell ref="C39:F39"/>
    <mergeCell ref="C72:F72"/>
    <mergeCell ref="C81:F81"/>
    <mergeCell ref="C32:F32"/>
    <mergeCell ref="C37:F37"/>
    <mergeCell ref="B105:I105"/>
    <mergeCell ref="C78:F78"/>
    <mergeCell ref="C62:F62"/>
    <mergeCell ref="V19:V24"/>
    <mergeCell ref="C19:F23"/>
    <mergeCell ref="C24:F24"/>
    <mergeCell ref="C89:F89"/>
    <mergeCell ref="C64:F64"/>
    <mergeCell ref="C79:F79"/>
    <mergeCell ref="C73:F73"/>
    <mergeCell ref="C88:F88"/>
    <mergeCell ref="C26:F26"/>
    <mergeCell ref="M19:U19"/>
    <mergeCell ref="C54:F54"/>
    <mergeCell ref="J19:J23"/>
    <mergeCell ref="C63:F63"/>
    <mergeCell ref="C41:F41"/>
    <mergeCell ref="C93:F93"/>
    <mergeCell ref="C56:F56"/>
    <mergeCell ref="C27:F27"/>
    <mergeCell ref="G19:G23"/>
    <mergeCell ref="C36:F36"/>
    <mergeCell ref="W19:W24"/>
    <mergeCell ref="C67:F67"/>
    <mergeCell ref="B102:I102"/>
    <mergeCell ref="C28:F28"/>
    <mergeCell ref="C69:F69"/>
    <mergeCell ref="C96:F96"/>
    <mergeCell ref="C83:F83"/>
    <mergeCell ref="B106:D107"/>
    <mergeCell ref="C92:F92"/>
    <mergeCell ref="C98:F98"/>
    <mergeCell ref="B110:D110"/>
    <mergeCell ref="F6:K6"/>
    <mergeCell ref="C90:F90"/>
    <mergeCell ref="C71:F71"/>
    <mergeCell ref="B108:D109"/>
    <mergeCell ref="C76:F76"/>
    <mergeCell ref="C91:F91"/>
    <mergeCell ref="C82:F82"/>
    <mergeCell ref="C57:F57"/>
    <mergeCell ref="C66:F66"/>
    <mergeCell ref="C53:F53"/>
    <mergeCell ref="C86:F86"/>
    <mergeCell ref="I19:I23"/>
    <mergeCell ref="K19:K23"/>
    <mergeCell ref="C58:F58"/>
    <mergeCell ref="C45:F45"/>
    <mergeCell ref="C97:F97"/>
    <mergeCell ref="B103:I103"/>
    <mergeCell ref="C29:F29"/>
    <mergeCell ref="C94:F94"/>
    <mergeCell ref="C65:F65"/>
    <mergeCell ref="B19:B24"/>
    <mergeCell ref="Q20:T20"/>
    <mergeCell ref="C47:F47"/>
    <mergeCell ref="C44:F44"/>
    <mergeCell ref="C84:F84"/>
    <mergeCell ref="B2:W2"/>
    <mergeCell ref="C31:F31"/>
    <mergeCell ref="C80:F80"/>
    <mergeCell ref="B104:I104"/>
    <mergeCell ref="F7:K7"/>
    <mergeCell ref="C51:F51"/>
    <mergeCell ref="C95:F95"/>
    <mergeCell ref="C60:F60"/>
    <mergeCell ref="C70:F70"/>
    <mergeCell ref="C48:F48"/>
    <mergeCell ref="C38:F38"/>
    <mergeCell ref="L19:L24"/>
    <mergeCell ref="H19:H23"/>
    <mergeCell ref="C49:F49"/>
    <mergeCell ref="C33:F33"/>
    <mergeCell ref="C42:F42"/>
    <mergeCell ref="C74:F74"/>
    <mergeCell ref="C35:F35"/>
    <mergeCell ref="M20:P20"/>
    <mergeCell ref="C85:F85"/>
    <mergeCell ref="C55:F55"/>
    <mergeCell ref="C99:F99"/>
    <mergeCell ref="C75:F75"/>
  </mergeCells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Minggu</t>
        </is>
      </c>
      <c r="B1" t="inlineStr">
        <is>
          <t>Rencana</t>
        </is>
      </c>
      <c r="C1" t="inlineStr">
        <is>
          <t>Realisasi</t>
        </is>
      </c>
      <c r="F1" t="n">
        <v>13</v>
      </c>
    </row>
    <row r="2">
      <c r="A2" t="inlineStr">
        <is>
          <t>M1</t>
        </is>
      </c>
      <c r="B2" s="46" t="n">
        <v>2.312</v>
      </c>
      <c r="C2" s="46" t="n">
        <v>0</v>
      </c>
      <c r="F2" t="n">
        <v>21</v>
      </c>
    </row>
    <row r="3">
      <c r="A3" t="inlineStr">
        <is>
          <t>M2</t>
        </is>
      </c>
      <c r="B3" s="46" t="n">
        <v>8.943</v>
      </c>
      <c r="C3" s="46" t="n">
        <v>0</v>
      </c>
      <c r="F3" t="n">
        <v>25</v>
      </c>
    </row>
    <row r="4">
      <c r="A4" t="inlineStr">
        <is>
          <t>M3</t>
        </is>
      </c>
      <c r="B4" s="46" t="n">
        <v>25.422</v>
      </c>
      <c r="C4" s="46" t="n">
        <v>0</v>
      </c>
      <c r="F4" t="n">
        <v>99</v>
      </c>
    </row>
    <row r="5">
      <c r="A5" t="inlineStr">
        <is>
          <t>M4</t>
        </is>
      </c>
      <c r="B5" s="46" t="n">
        <v>55.025</v>
      </c>
      <c r="C5" s="46" t="n">
        <v>0</v>
      </c>
      <c r="F5" t="n">
        <v>0</v>
      </c>
    </row>
    <row r="6">
      <c r="A6" t="inlineStr">
        <is>
          <t>M5</t>
        </is>
      </c>
      <c r="B6" s="46" t="n">
        <v>72.816</v>
      </c>
      <c r="C6" s="46" t="n">
        <v>0</v>
      </c>
    </row>
    <row r="7">
      <c r="A7" t="inlineStr">
        <is>
          <t>M6</t>
        </is>
      </c>
      <c r="B7" s="46" t="n">
        <v>83.726</v>
      </c>
      <c r="C7" s="46" t="n">
        <v>0</v>
      </c>
    </row>
    <row r="8">
      <c r="A8" t="inlineStr">
        <is>
          <t>M7</t>
        </is>
      </c>
      <c r="B8" s="46" t="n">
        <v>94.53700000000001</v>
      </c>
      <c r="C8" s="46" t="n">
        <v>0</v>
      </c>
    </row>
    <row r="9">
      <c r="A9" t="inlineStr">
        <is>
          <t>M8</t>
        </is>
      </c>
      <c r="B9" s="46" t="n">
        <v>98.81</v>
      </c>
      <c r="C9" s="46" t="n">
        <v>0</v>
      </c>
    </row>
    <row r="10">
      <c r="A10" t="inlineStr">
        <is>
          <t>M9</t>
        </is>
      </c>
      <c r="B10" s="46" t="n">
        <v>100</v>
      </c>
      <c r="C10" s="46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2026-06-02T05:37:49Z</dcterms:created>
  <dcterms:modified xsi:type="dcterms:W3CDTF">2026-06-02T05:37:50Z</dcterms:modified>
  <cp:lastModifiedBy>Unknown</cp:lastModifiedBy>
</cp:coreProperties>
</file>